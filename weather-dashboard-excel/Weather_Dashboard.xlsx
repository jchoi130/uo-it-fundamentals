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G:\UNISA - ASSOCIATE DEGREE OF DATA ANALYTICS\Term 2\UO Information Technology Fundamentals\Assessments\Assessment 1.1\"/>
    </mc:Choice>
  </mc:AlternateContent>
  <xr:revisionPtr revIDLastSave="0" documentId="13_ncr:1_{6DD1B939-EEC6-4CC8-A9F7-D5867B412B07}" xr6:coauthVersionLast="47" xr6:coauthVersionMax="47" xr10:uidLastSave="{00000000-0000-0000-0000-000000000000}"/>
  <bookViews>
    <workbookView xWindow="-108" yWindow="-108" windowWidth="23256" windowHeight="12576" xr2:uid="{00000000-000D-0000-FFFF-FFFF00000000}"/>
  </bookViews>
  <sheets>
    <sheet name="Dashboard" sheetId="1" r:id="rId1"/>
    <sheet name="WeatherData" sheetId="2" r:id="rId2"/>
    <sheet name="Station Numbers" sheetId="3" r:id="rId3"/>
    <sheet name="HelperPivot" sheetId="7" r:id="rId4"/>
    <sheet name="PivotStation" sheetId="8" r:id="rId5"/>
    <sheet name="MonthDetails" sheetId="5" r:id="rId6"/>
    <sheet name="Daily Summary" sheetId="4" r:id="rId7"/>
  </sheets>
  <definedNames>
    <definedName name="Slicer_Month_Name">#N/A</definedName>
    <definedName name="Slicer_Station_Nam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6" i="1" l="1"/>
  <c r="R6" i="2"/>
  <c r="P6" i="2"/>
  <c r="O5" i="2"/>
  <c r="R5" i="2"/>
  <c r="Q6" i="2"/>
  <c r="Q5" i="2"/>
  <c r="O6" i="2"/>
  <c r="P5" i="2"/>
  <c r="J6" i="5"/>
  <c r="G6" i="5"/>
  <c r="F19" i="1" s="1"/>
  <c r="L733" i="2"/>
  <c r="K733" i="2"/>
  <c r="F733" i="2"/>
  <c r="G733" i="2" s="1"/>
  <c r="B733" i="2"/>
  <c r="L732" i="2"/>
  <c r="K732" i="2"/>
  <c r="F732" i="2"/>
  <c r="G732" i="2" s="1"/>
  <c r="B732" i="2"/>
  <c r="L731" i="2"/>
  <c r="K731" i="2"/>
  <c r="F731" i="2"/>
  <c r="G731" i="2" s="1"/>
  <c r="B731" i="2"/>
  <c r="L730" i="2"/>
  <c r="K730" i="2"/>
  <c r="F730" i="2"/>
  <c r="G730" i="2" s="1"/>
  <c r="B730" i="2"/>
  <c r="L729" i="2"/>
  <c r="K729" i="2"/>
  <c r="F729" i="2"/>
  <c r="G729" i="2" s="1"/>
  <c r="B729" i="2"/>
  <c r="L728" i="2"/>
  <c r="K728" i="2"/>
  <c r="F728" i="2"/>
  <c r="G728" i="2" s="1"/>
  <c r="B728" i="2"/>
  <c r="L727" i="2"/>
  <c r="K727" i="2"/>
  <c r="F727" i="2"/>
  <c r="G727" i="2" s="1"/>
  <c r="B727" i="2"/>
  <c r="L726" i="2"/>
  <c r="K726" i="2"/>
  <c r="F726" i="2"/>
  <c r="G726" i="2" s="1"/>
  <c r="B726" i="2"/>
  <c r="L725" i="2"/>
  <c r="K725" i="2"/>
  <c r="F725" i="2"/>
  <c r="G725" i="2" s="1"/>
  <c r="B725" i="2"/>
  <c r="L724" i="2"/>
  <c r="K724" i="2"/>
  <c r="F724" i="2"/>
  <c r="G724" i="2" s="1"/>
  <c r="B724" i="2"/>
  <c r="L723" i="2"/>
  <c r="K723" i="2"/>
  <c r="F723" i="2"/>
  <c r="G723" i="2" s="1"/>
  <c r="B723" i="2"/>
  <c r="L722" i="2"/>
  <c r="K722" i="2"/>
  <c r="F722" i="2"/>
  <c r="G722" i="2" s="1"/>
  <c r="B722" i="2"/>
  <c r="L721" i="2"/>
  <c r="K721" i="2"/>
  <c r="F721" i="2"/>
  <c r="G721" i="2" s="1"/>
  <c r="B721" i="2"/>
  <c r="L720" i="2"/>
  <c r="K720" i="2"/>
  <c r="F720" i="2"/>
  <c r="G720" i="2" s="1"/>
  <c r="B720" i="2"/>
  <c r="L719" i="2"/>
  <c r="K719" i="2"/>
  <c r="F719" i="2"/>
  <c r="G719" i="2" s="1"/>
  <c r="B719" i="2"/>
  <c r="L718" i="2"/>
  <c r="K718" i="2"/>
  <c r="F718" i="2"/>
  <c r="G718" i="2" s="1"/>
  <c r="B718" i="2"/>
  <c r="L717" i="2"/>
  <c r="K717" i="2"/>
  <c r="F717" i="2"/>
  <c r="G717" i="2" s="1"/>
  <c r="B717" i="2"/>
  <c r="L716" i="2"/>
  <c r="K716" i="2"/>
  <c r="F716" i="2"/>
  <c r="G716" i="2" s="1"/>
  <c r="B716" i="2"/>
  <c r="L715" i="2"/>
  <c r="K715" i="2"/>
  <c r="F715" i="2"/>
  <c r="G715" i="2" s="1"/>
  <c r="B715" i="2"/>
  <c r="L714" i="2"/>
  <c r="K714" i="2"/>
  <c r="F714" i="2"/>
  <c r="G714" i="2" s="1"/>
  <c r="B714" i="2"/>
  <c r="L713" i="2"/>
  <c r="K713" i="2"/>
  <c r="G713" i="2"/>
  <c r="F713" i="2"/>
  <c r="B713" i="2"/>
  <c r="L712" i="2"/>
  <c r="K712" i="2"/>
  <c r="F712" i="2"/>
  <c r="G712" i="2" s="1"/>
  <c r="B712" i="2"/>
  <c r="L711" i="2"/>
  <c r="K711" i="2"/>
  <c r="F711" i="2"/>
  <c r="G711" i="2" s="1"/>
  <c r="B711" i="2"/>
  <c r="L710" i="2"/>
  <c r="K710" i="2"/>
  <c r="F710" i="2"/>
  <c r="G710" i="2" s="1"/>
  <c r="B710" i="2"/>
  <c r="L709" i="2"/>
  <c r="K709" i="2"/>
  <c r="F709" i="2"/>
  <c r="G709" i="2" s="1"/>
  <c r="B709" i="2"/>
  <c r="L708" i="2"/>
  <c r="K708" i="2"/>
  <c r="F708" i="2"/>
  <c r="G708" i="2" s="1"/>
  <c r="B708" i="2"/>
  <c r="L707" i="2"/>
  <c r="K707" i="2"/>
  <c r="F707" i="2"/>
  <c r="G707" i="2" s="1"/>
  <c r="B707" i="2"/>
  <c r="L706" i="2"/>
  <c r="K706" i="2"/>
  <c r="F706" i="2"/>
  <c r="G706" i="2" s="1"/>
  <c r="B706" i="2"/>
  <c r="L705" i="2"/>
  <c r="K705" i="2"/>
  <c r="F705" i="2"/>
  <c r="G705" i="2" s="1"/>
  <c r="B705" i="2"/>
  <c r="L704" i="2"/>
  <c r="K704" i="2"/>
  <c r="F704" i="2"/>
  <c r="G704" i="2" s="1"/>
  <c r="B704" i="2"/>
  <c r="L703" i="2"/>
  <c r="K703" i="2"/>
  <c r="F703" i="2"/>
  <c r="G703" i="2" s="1"/>
  <c r="B703" i="2"/>
  <c r="L702" i="2"/>
  <c r="K702" i="2"/>
  <c r="F702" i="2"/>
  <c r="G702" i="2" s="1"/>
  <c r="B702" i="2"/>
  <c r="L701" i="2"/>
  <c r="K701" i="2"/>
  <c r="F701" i="2"/>
  <c r="G701" i="2" s="1"/>
  <c r="B701" i="2"/>
  <c r="L700" i="2"/>
  <c r="K700" i="2"/>
  <c r="F700" i="2"/>
  <c r="G700" i="2" s="1"/>
  <c r="B700" i="2"/>
  <c r="L699" i="2"/>
  <c r="K699" i="2"/>
  <c r="F699" i="2"/>
  <c r="G699" i="2" s="1"/>
  <c r="B699" i="2"/>
  <c r="L698" i="2"/>
  <c r="K698" i="2"/>
  <c r="F698" i="2"/>
  <c r="G698" i="2" s="1"/>
  <c r="B698" i="2"/>
  <c r="L697" i="2"/>
  <c r="K697" i="2"/>
  <c r="F697" i="2"/>
  <c r="G697" i="2" s="1"/>
  <c r="B697" i="2"/>
  <c r="L696" i="2"/>
  <c r="K696" i="2"/>
  <c r="F696" i="2"/>
  <c r="G696" i="2" s="1"/>
  <c r="B696" i="2"/>
  <c r="L695" i="2"/>
  <c r="K695" i="2"/>
  <c r="F695" i="2"/>
  <c r="G695" i="2" s="1"/>
  <c r="B695" i="2"/>
  <c r="L694" i="2"/>
  <c r="K694" i="2"/>
  <c r="F694" i="2"/>
  <c r="G694" i="2" s="1"/>
  <c r="B694" i="2"/>
  <c r="L693" i="2"/>
  <c r="K693" i="2"/>
  <c r="F693" i="2"/>
  <c r="G693" i="2" s="1"/>
  <c r="B693" i="2"/>
  <c r="L692" i="2"/>
  <c r="K692" i="2"/>
  <c r="F692" i="2"/>
  <c r="G692" i="2" s="1"/>
  <c r="B692" i="2"/>
  <c r="L691" i="2"/>
  <c r="K691" i="2"/>
  <c r="F691" i="2"/>
  <c r="G691" i="2" s="1"/>
  <c r="B691" i="2"/>
  <c r="L690" i="2"/>
  <c r="K690" i="2"/>
  <c r="F690" i="2"/>
  <c r="G690" i="2" s="1"/>
  <c r="B690" i="2"/>
  <c r="L689" i="2"/>
  <c r="K689" i="2"/>
  <c r="F689" i="2"/>
  <c r="G689" i="2" s="1"/>
  <c r="B689" i="2"/>
  <c r="L688" i="2"/>
  <c r="K688" i="2"/>
  <c r="F688" i="2"/>
  <c r="G688" i="2" s="1"/>
  <c r="B688" i="2"/>
  <c r="L687" i="2"/>
  <c r="K687" i="2"/>
  <c r="F687" i="2"/>
  <c r="G687" i="2" s="1"/>
  <c r="B687" i="2"/>
  <c r="L686" i="2"/>
  <c r="K686" i="2"/>
  <c r="F686" i="2"/>
  <c r="G686" i="2" s="1"/>
  <c r="B686" i="2"/>
  <c r="L685" i="2"/>
  <c r="K685" i="2"/>
  <c r="F685" i="2"/>
  <c r="G685" i="2" s="1"/>
  <c r="B685" i="2"/>
  <c r="L684" i="2"/>
  <c r="K684" i="2"/>
  <c r="F684" i="2"/>
  <c r="G684" i="2" s="1"/>
  <c r="B684" i="2"/>
  <c r="L683" i="2"/>
  <c r="K683" i="2"/>
  <c r="F683" i="2"/>
  <c r="G683" i="2" s="1"/>
  <c r="B683" i="2"/>
  <c r="L682" i="2"/>
  <c r="K682" i="2"/>
  <c r="F682" i="2"/>
  <c r="G682" i="2" s="1"/>
  <c r="B682" i="2"/>
  <c r="L681" i="2"/>
  <c r="K681" i="2"/>
  <c r="F681" i="2"/>
  <c r="G681" i="2" s="1"/>
  <c r="B681" i="2"/>
  <c r="L680" i="2"/>
  <c r="K680" i="2"/>
  <c r="F680" i="2"/>
  <c r="G680" i="2" s="1"/>
  <c r="B680" i="2"/>
  <c r="L679" i="2"/>
  <c r="K679" i="2"/>
  <c r="F679" i="2"/>
  <c r="G679" i="2" s="1"/>
  <c r="B679" i="2"/>
  <c r="L678" i="2"/>
  <c r="K678" i="2"/>
  <c r="F678" i="2"/>
  <c r="G678" i="2" s="1"/>
  <c r="B678" i="2"/>
  <c r="L677" i="2"/>
  <c r="K677" i="2"/>
  <c r="F677" i="2"/>
  <c r="G677" i="2" s="1"/>
  <c r="B677" i="2"/>
  <c r="L676" i="2"/>
  <c r="K676" i="2"/>
  <c r="F676" i="2"/>
  <c r="G676" i="2" s="1"/>
  <c r="B676" i="2"/>
  <c r="L675" i="2"/>
  <c r="K675" i="2"/>
  <c r="F675" i="2"/>
  <c r="G675" i="2" s="1"/>
  <c r="B675" i="2"/>
  <c r="L674" i="2"/>
  <c r="K674" i="2"/>
  <c r="F674" i="2"/>
  <c r="G674" i="2" s="1"/>
  <c r="B674" i="2"/>
  <c r="L673" i="2"/>
  <c r="K673" i="2"/>
  <c r="F673" i="2"/>
  <c r="G673" i="2" s="1"/>
  <c r="B673" i="2"/>
  <c r="L672" i="2"/>
  <c r="K672" i="2"/>
  <c r="F672" i="2"/>
  <c r="G672" i="2" s="1"/>
  <c r="B672" i="2"/>
  <c r="L671" i="2"/>
  <c r="K671" i="2"/>
  <c r="F671" i="2"/>
  <c r="G671" i="2" s="1"/>
  <c r="B671" i="2"/>
  <c r="L670" i="2"/>
  <c r="K670" i="2"/>
  <c r="F670" i="2"/>
  <c r="G670" i="2" s="1"/>
  <c r="B670" i="2"/>
  <c r="L669" i="2"/>
  <c r="K669" i="2"/>
  <c r="F669" i="2"/>
  <c r="G669" i="2" s="1"/>
  <c r="B669" i="2"/>
  <c r="L668" i="2"/>
  <c r="K668" i="2"/>
  <c r="F668" i="2"/>
  <c r="G668" i="2" s="1"/>
  <c r="B668" i="2"/>
  <c r="L667" i="2"/>
  <c r="K667" i="2"/>
  <c r="F667" i="2"/>
  <c r="G667" i="2" s="1"/>
  <c r="B667" i="2"/>
  <c r="L666" i="2"/>
  <c r="K666" i="2"/>
  <c r="F666" i="2"/>
  <c r="G666" i="2" s="1"/>
  <c r="B666" i="2"/>
  <c r="L665" i="2"/>
  <c r="K665" i="2"/>
  <c r="F665" i="2"/>
  <c r="G665" i="2" s="1"/>
  <c r="B665" i="2"/>
  <c r="L664" i="2"/>
  <c r="K664" i="2"/>
  <c r="F664" i="2"/>
  <c r="G664" i="2" s="1"/>
  <c r="B664" i="2"/>
  <c r="L663" i="2"/>
  <c r="K663" i="2"/>
  <c r="F663" i="2"/>
  <c r="G663" i="2" s="1"/>
  <c r="B663" i="2"/>
  <c r="L662" i="2"/>
  <c r="K662" i="2"/>
  <c r="F662" i="2"/>
  <c r="G662" i="2" s="1"/>
  <c r="B662" i="2"/>
  <c r="L661" i="2"/>
  <c r="K661" i="2"/>
  <c r="F661" i="2"/>
  <c r="G661" i="2" s="1"/>
  <c r="B661" i="2"/>
  <c r="L660" i="2"/>
  <c r="K660" i="2"/>
  <c r="F660" i="2"/>
  <c r="G660" i="2" s="1"/>
  <c r="B660" i="2"/>
  <c r="L659" i="2"/>
  <c r="K659" i="2"/>
  <c r="F659" i="2"/>
  <c r="G659" i="2" s="1"/>
  <c r="B659" i="2"/>
  <c r="L658" i="2"/>
  <c r="K658" i="2"/>
  <c r="F658" i="2"/>
  <c r="G658" i="2" s="1"/>
  <c r="B658" i="2"/>
  <c r="L657" i="2"/>
  <c r="K657" i="2"/>
  <c r="F657" i="2"/>
  <c r="G657" i="2" s="1"/>
  <c r="B657" i="2"/>
  <c r="L656" i="2"/>
  <c r="K656" i="2"/>
  <c r="F656" i="2"/>
  <c r="G656" i="2" s="1"/>
  <c r="B656" i="2"/>
  <c r="L655" i="2"/>
  <c r="K655" i="2"/>
  <c r="F655" i="2"/>
  <c r="G655" i="2" s="1"/>
  <c r="B655" i="2"/>
  <c r="L654" i="2"/>
  <c r="K654" i="2"/>
  <c r="F654" i="2"/>
  <c r="G654" i="2" s="1"/>
  <c r="B654" i="2"/>
  <c r="L653" i="2"/>
  <c r="K653" i="2"/>
  <c r="F653" i="2"/>
  <c r="G653" i="2" s="1"/>
  <c r="B653" i="2"/>
  <c r="L652" i="2"/>
  <c r="K652" i="2"/>
  <c r="F652" i="2"/>
  <c r="G652" i="2" s="1"/>
  <c r="B652" i="2"/>
  <c r="L651" i="2"/>
  <c r="K651" i="2"/>
  <c r="F651" i="2"/>
  <c r="G651" i="2" s="1"/>
  <c r="B651" i="2"/>
  <c r="L650" i="2"/>
  <c r="K650" i="2"/>
  <c r="F650" i="2"/>
  <c r="G650" i="2" s="1"/>
  <c r="B650" i="2"/>
  <c r="L649" i="2"/>
  <c r="K649" i="2"/>
  <c r="F649" i="2"/>
  <c r="G649" i="2" s="1"/>
  <c r="B649" i="2"/>
  <c r="L648" i="2"/>
  <c r="K648" i="2"/>
  <c r="F648" i="2"/>
  <c r="G648" i="2" s="1"/>
  <c r="B648" i="2"/>
  <c r="L647" i="2"/>
  <c r="K647" i="2"/>
  <c r="F647" i="2"/>
  <c r="G647" i="2" s="1"/>
  <c r="B647" i="2"/>
  <c r="L646" i="2"/>
  <c r="K646" i="2"/>
  <c r="F646" i="2"/>
  <c r="G646" i="2" s="1"/>
  <c r="B646" i="2"/>
  <c r="L645" i="2"/>
  <c r="K645" i="2"/>
  <c r="F645" i="2"/>
  <c r="G645" i="2" s="1"/>
  <c r="B645" i="2"/>
  <c r="L644" i="2"/>
  <c r="K644" i="2"/>
  <c r="F644" i="2"/>
  <c r="G644" i="2" s="1"/>
  <c r="B644" i="2"/>
  <c r="L643" i="2"/>
  <c r="K643" i="2"/>
  <c r="F643" i="2"/>
  <c r="G643" i="2" s="1"/>
  <c r="B643" i="2"/>
  <c r="L642" i="2"/>
  <c r="K642" i="2"/>
  <c r="F642" i="2"/>
  <c r="G642" i="2" s="1"/>
  <c r="B642" i="2"/>
  <c r="L641" i="2"/>
  <c r="K641" i="2"/>
  <c r="F641" i="2"/>
  <c r="G641" i="2" s="1"/>
  <c r="B641" i="2"/>
  <c r="L640" i="2"/>
  <c r="K640" i="2"/>
  <c r="F640" i="2"/>
  <c r="G640" i="2" s="1"/>
  <c r="B640" i="2"/>
  <c r="L639" i="2"/>
  <c r="K639" i="2"/>
  <c r="G639" i="2"/>
  <c r="F639" i="2"/>
  <c r="B639" i="2"/>
  <c r="L638" i="2"/>
  <c r="K638" i="2"/>
  <c r="F638" i="2"/>
  <c r="G638" i="2" s="1"/>
  <c r="B638" i="2"/>
  <c r="L637" i="2"/>
  <c r="K637" i="2"/>
  <c r="F637" i="2"/>
  <c r="G637" i="2" s="1"/>
  <c r="B637" i="2"/>
  <c r="L636" i="2"/>
  <c r="K636" i="2"/>
  <c r="F636" i="2"/>
  <c r="G636" i="2" s="1"/>
  <c r="B636" i="2"/>
  <c r="L635" i="2"/>
  <c r="K635" i="2"/>
  <c r="F635" i="2"/>
  <c r="G635" i="2" s="1"/>
  <c r="B635" i="2"/>
  <c r="L634" i="2"/>
  <c r="K634" i="2"/>
  <c r="F634" i="2"/>
  <c r="G634" i="2" s="1"/>
  <c r="B634" i="2"/>
  <c r="L633" i="2"/>
  <c r="K633" i="2"/>
  <c r="F633" i="2"/>
  <c r="G633" i="2" s="1"/>
  <c r="B633" i="2"/>
  <c r="L632" i="2"/>
  <c r="K632" i="2"/>
  <c r="F632" i="2"/>
  <c r="G632" i="2" s="1"/>
  <c r="B632" i="2"/>
  <c r="L631" i="2"/>
  <c r="K631" i="2"/>
  <c r="F631" i="2"/>
  <c r="G631" i="2" s="1"/>
  <c r="B631" i="2"/>
  <c r="L630" i="2"/>
  <c r="K630" i="2"/>
  <c r="F630" i="2"/>
  <c r="G630" i="2" s="1"/>
  <c r="B630" i="2"/>
  <c r="L629" i="2"/>
  <c r="K629" i="2"/>
  <c r="F629" i="2"/>
  <c r="G629" i="2" s="1"/>
  <c r="B629" i="2"/>
  <c r="L628" i="2"/>
  <c r="K628" i="2"/>
  <c r="F628" i="2"/>
  <c r="G628" i="2" s="1"/>
  <c r="B628" i="2"/>
  <c r="L627" i="2"/>
  <c r="K627" i="2"/>
  <c r="G627" i="2"/>
  <c r="F627" i="2"/>
  <c r="B627" i="2"/>
  <c r="L626" i="2"/>
  <c r="K626" i="2"/>
  <c r="F626" i="2"/>
  <c r="G626" i="2" s="1"/>
  <c r="B626" i="2"/>
  <c r="L625" i="2"/>
  <c r="K625" i="2"/>
  <c r="F625" i="2"/>
  <c r="G625" i="2" s="1"/>
  <c r="B625" i="2"/>
  <c r="L624" i="2"/>
  <c r="K624" i="2"/>
  <c r="F624" i="2"/>
  <c r="G624" i="2" s="1"/>
  <c r="B624" i="2"/>
  <c r="L623" i="2"/>
  <c r="K623" i="2"/>
  <c r="F623" i="2"/>
  <c r="G623" i="2" s="1"/>
  <c r="B623" i="2"/>
  <c r="L622" i="2"/>
  <c r="K622" i="2"/>
  <c r="F622" i="2"/>
  <c r="G622" i="2" s="1"/>
  <c r="B622" i="2"/>
  <c r="L621" i="2"/>
  <c r="K621" i="2"/>
  <c r="F621" i="2"/>
  <c r="G621" i="2" s="1"/>
  <c r="B621" i="2"/>
  <c r="L620" i="2"/>
  <c r="K620" i="2"/>
  <c r="F620" i="2"/>
  <c r="G620" i="2" s="1"/>
  <c r="B620" i="2"/>
  <c r="L619" i="2"/>
  <c r="K619" i="2"/>
  <c r="F619" i="2"/>
  <c r="G619" i="2" s="1"/>
  <c r="B619" i="2"/>
  <c r="L618" i="2"/>
  <c r="K618" i="2"/>
  <c r="F618" i="2"/>
  <c r="G618" i="2" s="1"/>
  <c r="B618" i="2"/>
  <c r="L617" i="2"/>
  <c r="K617" i="2"/>
  <c r="F617" i="2"/>
  <c r="G617" i="2" s="1"/>
  <c r="B617" i="2"/>
  <c r="L616" i="2"/>
  <c r="K616" i="2"/>
  <c r="F616" i="2"/>
  <c r="G616" i="2" s="1"/>
  <c r="B616" i="2"/>
  <c r="L615" i="2"/>
  <c r="K615" i="2"/>
  <c r="F615" i="2"/>
  <c r="G615" i="2" s="1"/>
  <c r="B615" i="2"/>
  <c r="L614" i="2"/>
  <c r="K614" i="2"/>
  <c r="F614" i="2"/>
  <c r="G614" i="2" s="1"/>
  <c r="B614" i="2"/>
  <c r="L613" i="2"/>
  <c r="K613" i="2"/>
  <c r="F613" i="2"/>
  <c r="G613" i="2" s="1"/>
  <c r="B613" i="2"/>
  <c r="L612" i="2"/>
  <c r="K612" i="2"/>
  <c r="F612" i="2"/>
  <c r="G612" i="2" s="1"/>
  <c r="B612" i="2"/>
  <c r="L611" i="2"/>
  <c r="K611" i="2"/>
  <c r="F611" i="2"/>
  <c r="G611" i="2" s="1"/>
  <c r="B611" i="2"/>
  <c r="L610" i="2"/>
  <c r="K610" i="2"/>
  <c r="F610" i="2"/>
  <c r="G610" i="2" s="1"/>
  <c r="B610" i="2"/>
  <c r="L609" i="2"/>
  <c r="K609" i="2"/>
  <c r="F609" i="2"/>
  <c r="G609" i="2" s="1"/>
  <c r="B609" i="2"/>
  <c r="L608" i="2"/>
  <c r="K608" i="2"/>
  <c r="F608" i="2"/>
  <c r="G608" i="2" s="1"/>
  <c r="B608" i="2"/>
  <c r="L607" i="2"/>
  <c r="K607" i="2"/>
  <c r="F607" i="2"/>
  <c r="G607" i="2" s="1"/>
  <c r="B607" i="2"/>
  <c r="L606" i="2"/>
  <c r="K606" i="2"/>
  <c r="F606" i="2"/>
  <c r="G606" i="2" s="1"/>
  <c r="B606" i="2"/>
  <c r="L605" i="2"/>
  <c r="K605" i="2"/>
  <c r="F605" i="2"/>
  <c r="G605" i="2" s="1"/>
  <c r="B605" i="2"/>
  <c r="L604" i="2"/>
  <c r="K604" i="2"/>
  <c r="F604" i="2"/>
  <c r="G604" i="2" s="1"/>
  <c r="B604" i="2"/>
  <c r="L603" i="2"/>
  <c r="K603" i="2"/>
  <c r="F603" i="2"/>
  <c r="G603" i="2" s="1"/>
  <c r="B603" i="2"/>
  <c r="L602" i="2"/>
  <c r="K602" i="2"/>
  <c r="F602" i="2"/>
  <c r="G602" i="2" s="1"/>
  <c r="B602" i="2"/>
  <c r="L601" i="2"/>
  <c r="K601" i="2"/>
  <c r="F601" i="2"/>
  <c r="G601" i="2" s="1"/>
  <c r="B601" i="2"/>
  <c r="L600" i="2"/>
  <c r="K600" i="2"/>
  <c r="F600" i="2"/>
  <c r="G600" i="2" s="1"/>
  <c r="B600" i="2"/>
  <c r="L599" i="2"/>
  <c r="K599" i="2"/>
  <c r="F599" i="2"/>
  <c r="G599" i="2" s="1"/>
  <c r="B599" i="2"/>
  <c r="L598" i="2"/>
  <c r="K598" i="2"/>
  <c r="F598" i="2"/>
  <c r="G598" i="2" s="1"/>
  <c r="B598" i="2"/>
  <c r="L597" i="2"/>
  <c r="K597" i="2"/>
  <c r="F597" i="2"/>
  <c r="G597" i="2" s="1"/>
  <c r="B597" i="2"/>
  <c r="L596" i="2"/>
  <c r="K596" i="2"/>
  <c r="F596" i="2"/>
  <c r="G596" i="2" s="1"/>
  <c r="B596" i="2"/>
  <c r="L595" i="2"/>
  <c r="K595" i="2"/>
  <c r="F595" i="2"/>
  <c r="G595" i="2" s="1"/>
  <c r="B595" i="2"/>
  <c r="L594" i="2"/>
  <c r="K594" i="2"/>
  <c r="F594" i="2"/>
  <c r="G594" i="2" s="1"/>
  <c r="B594" i="2"/>
  <c r="L593" i="2"/>
  <c r="K593" i="2"/>
  <c r="F593" i="2"/>
  <c r="G593" i="2" s="1"/>
  <c r="B593" i="2"/>
  <c r="L592" i="2"/>
  <c r="K592" i="2"/>
  <c r="F592" i="2"/>
  <c r="G592" i="2" s="1"/>
  <c r="B592" i="2"/>
  <c r="L591" i="2"/>
  <c r="K591" i="2"/>
  <c r="F591" i="2"/>
  <c r="G591" i="2" s="1"/>
  <c r="B591" i="2"/>
  <c r="L590" i="2"/>
  <c r="K590" i="2"/>
  <c r="F590" i="2"/>
  <c r="G590" i="2" s="1"/>
  <c r="B590" i="2"/>
  <c r="L589" i="2"/>
  <c r="K589" i="2"/>
  <c r="F589" i="2"/>
  <c r="G589" i="2" s="1"/>
  <c r="B589" i="2"/>
  <c r="L588" i="2"/>
  <c r="K588" i="2"/>
  <c r="F588" i="2"/>
  <c r="G588" i="2" s="1"/>
  <c r="B588" i="2"/>
  <c r="L587" i="2"/>
  <c r="K587" i="2"/>
  <c r="F587" i="2"/>
  <c r="G587" i="2" s="1"/>
  <c r="B587" i="2"/>
  <c r="L586" i="2"/>
  <c r="K586" i="2"/>
  <c r="F586" i="2"/>
  <c r="G586" i="2" s="1"/>
  <c r="B586" i="2"/>
  <c r="L585" i="2"/>
  <c r="K585" i="2"/>
  <c r="F585" i="2"/>
  <c r="G585" i="2" s="1"/>
  <c r="B585" i="2"/>
  <c r="L584" i="2"/>
  <c r="K584" i="2"/>
  <c r="F584" i="2"/>
  <c r="G584" i="2" s="1"/>
  <c r="B584" i="2"/>
  <c r="L583" i="2"/>
  <c r="K583" i="2"/>
  <c r="F583" i="2"/>
  <c r="G583" i="2" s="1"/>
  <c r="B583" i="2"/>
  <c r="L582" i="2"/>
  <c r="K582" i="2"/>
  <c r="F582" i="2"/>
  <c r="G582" i="2" s="1"/>
  <c r="B582" i="2"/>
  <c r="L581" i="2"/>
  <c r="K581" i="2"/>
  <c r="F581" i="2"/>
  <c r="G581" i="2" s="1"/>
  <c r="B581" i="2"/>
  <c r="L580" i="2"/>
  <c r="K580" i="2"/>
  <c r="F580" i="2"/>
  <c r="G580" i="2" s="1"/>
  <c r="B580" i="2"/>
  <c r="L579" i="2"/>
  <c r="K579" i="2"/>
  <c r="G579" i="2"/>
  <c r="F579" i="2"/>
  <c r="B579" i="2"/>
  <c r="L578" i="2"/>
  <c r="K578" i="2"/>
  <c r="F578" i="2"/>
  <c r="G578" i="2" s="1"/>
  <c r="B578" i="2"/>
  <c r="L577" i="2"/>
  <c r="K577" i="2"/>
  <c r="F577" i="2"/>
  <c r="G577" i="2" s="1"/>
  <c r="B577" i="2"/>
  <c r="L576" i="2"/>
  <c r="K576" i="2"/>
  <c r="F576" i="2"/>
  <c r="G576" i="2" s="1"/>
  <c r="B576" i="2"/>
  <c r="L575" i="2"/>
  <c r="K575" i="2"/>
  <c r="F575" i="2"/>
  <c r="G575" i="2" s="1"/>
  <c r="B575" i="2"/>
  <c r="L574" i="2"/>
  <c r="K574" i="2"/>
  <c r="F574" i="2"/>
  <c r="G574" i="2" s="1"/>
  <c r="B574" i="2"/>
  <c r="L573" i="2"/>
  <c r="K573" i="2"/>
  <c r="F573" i="2"/>
  <c r="G573" i="2" s="1"/>
  <c r="B573" i="2"/>
  <c r="L572" i="2"/>
  <c r="K572" i="2"/>
  <c r="F572" i="2"/>
  <c r="G572" i="2" s="1"/>
  <c r="B572" i="2"/>
  <c r="L571" i="2"/>
  <c r="K571" i="2"/>
  <c r="F571" i="2"/>
  <c r="G571" i="2" s="1"/>
  <c r="B571" i="2"/>
  <c r="L570" i="2"/>
  <c r="K570" i="2"/>
  <c r="F570" i="2"/>
  <c r="G570" i="2" s="1"/>
  <c r="B570" i="2"/>
  <c r="L569" i="2"/>
  <c r="K569" i="2"/>
  <c r="F569" i="2"/>
  <c r="G569" i="2" s="1"/>
  <c r="B569" i="2"/>
  <c r="L568" i="2"/>
  <c r="K568" i="2"/>
  <c r="F568" i="2"/>
  <c r="G568" i="2" s="1"/>
  <c r="B568" i="2"/>
  <c r="L567" i="2"/>
  <c r="K567" i="2"/>
  <c r="F567" i="2"/>
  <c r="G567" i="2" s="1"/>
  <c r="B567" i="2"/>
  <c r="L566" i="2"/>
  <c r="K566" i="2"/>
  <c r="F566" i="2"/>
  <c r="G566" i="2" s="1"/>
  <c r="B566" i="2"/>
  <c r="L565" i="2"/>
  <c r="K565" i="2"/>
  <c r="F565" i="2"/>
  <c r="G565" i="2" s="1"/>
  <c r="B565" i="2"/>
  <c r="L564" i="2"/>
  <c r="K564" i="2"/>
  <c r="F564" i="2"/>
  <c r="G564" i="2" s="1"/>
  <c r="B564" i="2"/>
  <c r="L563" i="2"/>
  <c r="K563" i="2"/>
  <c r="F563" i="2"/>
  <c r="G563" i="2" s="1"/>
  <c r="B563" i="2"/>
  <c r="L562" i="2"/>
  <c r="K562" i="2"/>
  <c r="F562" i="2"/>
  <c r="G562" i="2" s="1"/>
  <c r="B562" i="2"/>
  <c r="L561" i="2"/>
  <c r="K561" i="2"/>
  <c r="F561" i="2"/>
  <c r="G561" i="2" s="1"/>
  <c r="B561" i="2"/>
  <c r="L560" i="2"/>
  <c r="K560" i="2"/>
  <c r="F560" i="2"/>
  <c r="G560" i="2" s="1"/>
  <c r="B560" i="2"/>
  <c r="L559" i="2"/>
  <c r="K559" i="2"/>
  <c r="F559" i="2"/>
  <c r="G559" i="2" s="1"/>
  <c r="B559" i="2"/>
  <c r="L558" i="2"/>
  <c r="K558" i="2"/>
  <c r="F558" i="2"/>
  <c r="G558" i="2" s="1"/>
  <c r="B558" i="2"/>
  <c r="L557" i="2"/>
  <c r="K557" i="2"/>
  <c r="F557" i="2"/>
  <c r="G557" i="2" s="1"/>
  <c r="B557" i="2"/>
  <c r="L556" i="2"/>
  <c r="K556" i="2"/>
  <c r="F556" i="2"/>
  <c r="G556" i="2" s="1"/>
  <c r="B556" i="2"/>
  <c r="L555" i="2"/>
  <c r="K555" i="2"/>
  <c r="F555" i="2"/>
  <c r="G555" i="2" s="1"/>
  <c r="B555" i="2"/>
  <c r="L554" i="2"/>
  <c r="K554" i="2"/>
  <c r="F554" i="2"/>
  <c r="G554" i="2" s="1"/>
  <c r="B554" i="2"/>
  <c r="L553" i="2"/>
  <c r="K553" i="2"/>
  <c r="F553" i="2"/>
  <c r="G553" i="2" s="1"/>
  <c r="B553" i="2"/>
  <c r="L552" i="2"/>
  <c r="K552" i="2"/>
  <c r="F552" i="2"/>
  <c r="G552" i="2" s="1"/>
  <c r="B552" i="2"/>
  <c r="L551" i="2"/>
  <c r="K551" i="2"/>
  <c r="F551" i="2"/>
  <c r="G551" i="2" s="1"/>
  <c r="B551" i="2"/>
  <c r="L550" i="2"/>
  <c r="K550" i="2"/>
  <c r="F550" i="2"/>
  <c r="G550" i="2" s="1"/>
  <c r="B550" i="2"/>
  <c r="L549" i="2"/>
  <c r="K549" i="2"/>
  <c r="F549" i="2"/>
  <c r="G549" i="2" s="1"/>
  <c r="B549" i="2"/>
  <c r="L548" i="2"/>
  <c r="K548" i="2"/>
  <c r="F548" i="2"/>
  <c r="G548" i="2" s="1"/>
  <c r="B548" i="2"/>
  <c r="L547" i="2"/>
  <c r="K547" i="2"/>
  <c r="F547" i="2"/>
  <c r="G547" i="2" s="1"/>
  <c r="B547" i="2"/>
  <c r="L546" i="2"/>
  <c r="K546" i="2"/>
  <c r="F546" i="2"/>
  <c r="G546" i="2" s="1"/>
  <c r="B546" i="2"/>
  <c r="L545" i="2"/>
  <c r="K545" i="2"/>
  <c r="F545" i="2"/>
  <c r="G545" i="2" s="1"/>
  <c r="B545" i="2"/>
  <c r="L544" i="2"/>
  <c r="K544" i="2"/>
  <c r="F544" i="2"/>
  <c r="G544" i="2" s="1"/>
  <c r="B544" i="2"/>
  <c r="L543" i="2"/>
  <c r="K543" i="2"/>
  <c r="F543" i="2"/>
  <c r="G543" i="2" s="1"/>
  <c r="B543" i="2"/>
  <c r="L542" i="2"/>
  <c r="K542" i="2"/>
  <c r="F542" i="2"/>
  <c r="G542" i="2" s="1"/>
  <c r="B542" i="2"/>
  <c r="L541" i="2"/>
  <c r="K541" i="2"/>
  <c r="F541" i="2"/>
  <c r="G541" i="2" s="1"/>
  <c r="B541" i="2"/>
  <c r="L540" i="2"/>
  <c r="K540" i="2"/>
  <c r="F540" i="2"/>
  <c r="G540" i="2" s="1"/>
  <c r="B540" i="2"/>
  <c r="L539" i="2"/>
  <c r="K539" i="2"/>
  <c r="F539" i="2"/>
  <c r="G539" i="2" s="1"/>
  <c r="B539" i="2"/>
  <c r="L538" i="2"/>
  <c r="K538" i="2"/>
  <c r="F538" i="2"/>
  <c r="G538" i="2" s="1"/>
  <c r="B538" i="2"/>
  <c r="L537" i="2"/>
  <c r="K537" i="2"/>
  <c r="G537" i="2"/>
  <c r="F537" i="2"/>
  <c r="B537" i="2"/>
  <c r="L536" i="2"/>
  <c r="K536" i="2"/>
  <c r="F536" i="2"/>
  <c r="G536" i="2" s="1"/>
  <c r="B536" i="2"/>
  <c r="L535" i="2"/>
  <c r="K535" i="2"/>
  <c r="F535" i="2"/>
  <c r="G535" i="2" s="1"/>
  <c r="B535" i="2"/>
  <c r="L534" i="2"/>
  <c r="K534" i="2"/>
  <c r="F534" i="2"/>
  <c r="G534" i="2" s="1"/>
  <c r="B534" i="2"/>
  <c r="L533" i="2"/>
  <c r="K533" i="2"/>
  <c r="F533" i="2"/>
  <c r="G533" i="2" s="1"/>
  <c r="B533" i="2"/>
  <c r="L532" i="2"/>
  <c r="K532" i="2"/>
  <c r="F532" i="2"/>
  <c r="G532" i="2" s="1"/>
  <c r="B532" i="2"/>
  <c r="L531" i="2"/>
  <c r="K531" i="2"/>
  <c r="F531" i="2"/>
  <c r="G531" i="2" s="1"/>
  <c r="B531" i="2"/>
  <c r="L530" i="2"/>
  <c r="K530" i="2"/>
  <c r="F530" i="2"/>
  <c r="G530" i="2" s="1"/>
  <c r="B530" i="2"/>
  <c r="L529" i="2"/>
  <c r="K529" i="2"/>
  <c r="F529" i="2"/>
  <c r="G529" i="2" s="1"/>
  <c r="B529" i="2"/>
  <c r="L528" i="2"/>
  <c r="K528" i="2"/>
  <c r="F528" i="2"/>
  <c r="G528" i="2" s="1"/>
  <c r="B528" i="2"/>
  <c r="L527" i="2"/>
  <c r="K527" i="2"/>
  <c r="F527" i="2"/>
  <c r="G527" i="2" s="1"/>
  <c r="B527" i="2"/>
  <c r="L526" i="2"/>
  <c r="K526" i="2"/>
  <c r="F526" i="2"/>
  <c r="G526" i="2" s="1"/>
  <c r="B526" i="2"/>
  <c r="L525" i="2"/>
  <c r="K525" i="2"/>
  <c r="F525" i="2"/>
  <c r="G525" i="2" s="1"/>
  <c r="B525" i="2"/>
  <c r="L524" i="2"/>
  <c r="K524" i="2"/>
  <c r="F524" i="2"/>
  <c r="G524" i="2" s="1"/>
  <c r="B524" i="2"/>
  <c r="L523" i="2"/>
  <c r="K523" i="2"/>
  <c r="F523" i="2"/>
  <c r="G523" i="2" s="1"/>
  <c r="B523" i="2"/>
  <c r="L522" i="2"/>
  <c r="K522" i="2"/>
  <c r="F522" i="2"/>
  <c r="G522" i="2" s="1"/>
  <c r="B522" i="2"/>
  <c r="L521" i="2"/>
  <c r="K521" i="2"/>
  <c r="F521" i="2"/>
  <c r="G521" i="2" s="1"/>
  <c r="B521" i="2"/>
  <c r="L520" i="2"/>
  <c r="K520" i="2"/>
  <c r="F520" i="2"/>
  <c r="G520" i="2" s="1"/>
  <c r="B520" i="2"/>
  <c r="L519" i="2"/>
  <c r="K519" i="2"/>
  <c r="F519" i="2"/>
  <c r="G519" i="2" s="1"/>
  <c r="B519" i="2"/>
  <c r="L518" i="2"/>
  <c r="K518" i="2"/>
  <c r="F518" i="2"/>
  <c r="G518" i="2" s="1"/>
  <c r="B518" i="2"/>
  <c r="L517" i="2"/>
  <c r="K517" i="2"/>
  <c r="F517" i="2"/>
  <c r="G517" i="2" s="1"/>
  <c r="B517" i="2"/>
  <c r="L516" i="2"/>
  <c r="K516" i="2"/>
  <c r="F516" i="2"/>
  <c r="G516" i="2" s="1"/>
  <c r="B516" i="2"/>
  <c r="L515" i="2"/>
  <c r="K515" i="2"/>
  <c r="F515" i="2"/>
  <c r="G515" i="2" s="1"/>
  <c r="B515" i="2"/>
  <c r="L514" i="2"/>
  <c r="K514" i="2"/>
  <c r="F514" i="2"/>
  <c r="G514" i="2" s="1"/>
  <c r="B514" i="2"/>
  <c r="L513" i="2"/>
  <c r="K513" i="2"/>
  <c r="F513" i="2"/>
  <c r="G513" i="2" s="1"/>
  <c r="B513" i="2"/>
  <c r="L512" i="2"/>
  <c r="K512" i="2"/>
  <c r="F512" i="2"/>
  <c r="G512" i="2" s="1"/>
  <c r="B512" i="2"/>
  <c r="L511" i="2"/>
  <c r="K511" i="2"/>
  <c r="F511" i="2"/>
  <c r="G511" i="2" s="1"/>
  <c r="B511" i="2"/>
  <c r="L510" i="2"/>
  <c r="K510" i="2"/>
  <c r="F510" i="2"/>
  <c r="G510" i="2" s="1"/>
  <c r="B510" i="2"/>
  <c r="L509" i="2"/>
  <c r="K509" i="2"/>
  <c r="F509" i="2"/>
  <c r="G509" i="2" s="1"/>
  <c r="B509" i="2"/>
  <c r="L508" i="2"/>
  <c r="K508" i="2"/>
  <c r="F508" i="2"/>
  <c r="G508" i="2" s="1"/>
  <c r="B508" i="2"/>
  <c r="L507" i="2"/>
  <c r="K507" i="2"/>
  <c r="F507" i="2"/>
  <c r="G507" i="2" s="1"/>
  <c r="B507" i="2"/>
  <c r="L506" i="2"/>
  <c r="K506" i="2"/>
  <c r="F506" i="2"/>
  <c r="G506" i="2" s="1"/>
  <c r="B506" i="2"/>
  <c r="L505" i="2"/>
  <c r="K505" i="2"/>
  <c r="F505" i="2"/>
  <c r="G505" i="2" s="1"/>
  <c r="B505" i="2"/>
  <c r="L504" i="2"/>
  <c r="K504" i="2"/>
  <c r="F504" i="2"/>
  <c r="G504" i="2" s="1"/>
  <c r="B504" i="2"/>
  <c r="L503" i="2"/>
  <c r="K503" i="2"/>
  <c r="F503" i="2"/>
  <c r="G503" i="2" s="1"/>
  <c r="B503" i="2"/>
  <c r="L502" i="2"/>
  <c r="K502" i="2"/>
  <c r="F502" i="2"/>
  <c r="G502" i="2" s="1"/>
  <c r="B502" i="2"/>
  <c r="L501" i="2"/>
  <c r="K501" i="2"/>
  <c r="F501" i="2"/>
  <c r="G501" i="2" s="1"/>
  <c r="B501" i="2"/>
  <c r="L500" i="2"/>
  <c r="K500" i="2"/>
  <c r="F500" i="2"/>
  <c r="G500" i="2" s="1"/>
  <c r="B500" i="2"/>
  <c r="L499" i="2"/>
  <c r="K499" i="2"/>
  <c r="F499" i="2"/>
  <c r="G499" i="2" s="1"/>
  <c r="B499" i="2"/>
  <c r="L498" i="2"/>
  <c r="K498" i="2"/>
  <c r="F498" i="2"/>
  <c r="G498" i="2" s="1"/>
  <c r="B498" i="2"/>
  <c r="L497" i="2"/>
  <c r="K497" i="2"/>
  <c r="F497" i="2"/>
  <c r="G497" i="2" s="1"/>
  <c r="B497" i="2"/>
  <c r="L496" i="2"/>
  <c r="K496" i="2"/>
  <c r="F496" i="2"/>
  <c r="G496" i="2" s="1"/>
  <c r="B496" i="2"/>
  <c r="L495" i="2"/>
  <c r="K495" i="2"/>
  <c r="F495" i="2"/>
  <c r="G495" i="2" s="1"/>
  <c r="B495" i="2"/>
  <c r="L494" i="2"/>
  <c r="K494" i="2"/>
  <c r="F494" i="2"/>
  <c r="G494" i="2" s="1"/>
  <c r="B494" i="2"/>
  <c r="L493" i="2"/>
  <c r="K493" i="2"/>
  <c r="F493" i="2"/>
  <c r="G493" i="2" s="1"/>
  <c r="B493" i="2"/>
  <c r="L492" i="2"/>
  <c r="K492" i="2"/>
  <c r="F492" i="2"/>
  <c r="G492" i="2" s="1"/>
  <c r="B492" i="2"/>
  <c r="L491" i="2"/>
  <c r="K491" i="2"/>
  <c r="F491" i="2"/>
  <c r="G491" i="2" s="1"/>
  <c r="B491" i="2"/>
  <c r="L490" i="2"/>
  <c r="K490" i="2"/>
  <c r="F490" i="2"/>
  <c r="G490" i="2" s="1"/>
  <c r="B490" i="2"/>
  <c r="L489" i="2"/>
  <c r="K489" i="2"/>
  <c r="F489" i="2"/>
  <c r="G489" i="2" s="1"/>
  <c r="B489" i="2"/>
  <c r="L488" i="2"/>
  <c r="K488" i="2"/>
  <c r="F488" i="2"/>
  <c r="G488" i="2" s="1"/>
  <c r="B488" i="2"/>
  <c r="L487" i="2"/>
  <c r="K487" i="2"/>
  <c r="F487" i="2"/>
  <c r="G487" i="2" s="1"/>
  <c r="B487" i="2"/>
  <c r="L486" i="2"/>
  <c r="K486" i="2"/>
  <c r="F486" i="2"/>
  <c r="G486" i="2" s="1"/>
  <c r="B486" i="2"/>
  <c r="L485" i="2"/>
  <c r="K485" i="2"/>
  <c r="F485" i="2"/>
  <c r="G485" i="2" s="1"/>
  <c r="B485" i="2"/>
  <c r="L484" i="2"/>
  <c r="K484" i="2"/>
  <c r="F484" i="2"/>
  <c r="G484" i="2" s="1"/>
  <c r="B484" i="2"/>
  <c r="L483" i="2"/>
  <c r="K483" i="2"/>
  <c r="F483" i="2"/>
  <c r="G483" i="2" s="1"/>
  <c r="B483" i="2"/>
  <c r="L482" i="2"/>
  <c r="K482" i="2"/>
  <c r="F482" i="2"/>
  <c r="G482" i="2" s="1"/>
  <c r="B482" i="2"/>
  <c r="L481" i="2"/>
  <c r="K481" i="2"/>
  <c r="F481" i="2"/>
  <c r="G481" i="2" s="1"/>
  <c r="B481" i="2"/>
  <c r="L480" i="2"/>
  <c r="K480" i="2"/>
  <c r="F480" i="2"/>
  <c r="G480" i="2" s="1"/>
  <c r="B480" i="2"/>
  <c r="L479" i="2"/>
  <c r="K479" i="2"/>
  <c r="F479" i="2"/>
  <c r="G479" i="2" s="1"/>
  <c r="B479" i="2"/>
  <c r="L478" i="2"/>
  <c r="K478" i="2"/>
  <c r="F478" i="2"/>
  <c r="G478" i="2" s="1"/>
  <c r="B478" i="2"/>
  <c r="L477" i="2"/>
  <c r="K477" i="2"/>
  <c r="F477" i="2"/>
  <c r="G477" i="2" s="1"/>
  <c r="B477" i="2"/>
  <c r="L476" i="2"/>
  <c r="K476" i="2"/>
  <c r="F476" i="2"/>
  <c r="G476" i="2" s="1"/>
  <c r="B476" i="2"/>
  <c r="L475" i="2"/>
  <c r="K475" i="2"/>
  <c r="F475" i="2"/>
  <c r="G475" i="2" s="1"/>
  <c r="B475" i="2"/>
  <c r="L474" i="2"/>
  <c r="K474" i="2"/>
  <c r="F474" i="2"/>
  <c r="G474" i="2" s="1"/>
  <c r="B474" i="2"/>
  <c r="L473" i="2"/>
  <c r="K473" i="2"/>
  <c r="F473" i="2"/>
  <c r="G473" i="2" s="1"/>
  <c r="B473" i="2"/>
  <c r="L472" i="2"/>
  <c r="K472" i="2"/>
  <c r="F472" i="2"/>
  <c r="G472" i="2" s="1"/>
  <c r="B472" i="2"/>
  <c r="L471" i="2"/>
  <c r="K471" i="2"/>
  <c r="F471" i="2"/>
  <c r="G471" i="2" s="1"/>
  <c r="B471" i="2"/>
  <c r="L470" i="2"/>
  <c r="K470" i="2"/>
  <c r="F470" i="2"/>
  <c r="G470" i="2" s="1"/>
  <c r="B470" i="2"/>
  <c r="L469" i="2"/>
  <c r="K469" i="2"/>
  <c r="F469" i="2"/>
  <c r="G469" i="2" s="1"/>
  <c r="B469" i="2"/>
  <c r="L468" i="2"/>
  <c r="K468" i="2"/>
  <c r="F468" i="2"/>
  <c r="G468" i="2" s="1"/>
  <c r="B468" i="2"/>
  <c r="L467" i="2"/>
  <c r="K467" i="2"/>
  <c r="G467" i="2"/>
  <c r="F467" i="2"/>
  <c r="B467" i="2"/>
  <c r="L466" i="2"/>
  <c r="K466" i="2"/>
  <c r="F466" i="2"/>
  <c r="G466" i="2" s="1"/>
  <c r="B466" i="2"/>
  <c r="L465" i="2"/>
  <c r="K465" i="2"/>
  <c r="F465" i="2"/>
  <c r="G465" i="2" s="1"/>
  <c r="B465" i="2"/>
  <c r="L464" i="2"/>
  <c r="K464" i="2"/>
  <c r="F464" i="2"/>
  <c r="G464" i="2" s="1"/>
  <c r="B464" i="2"/>
  <c r="L463" i="2"/>
  <c r="K463" i="2"/>
  <c r="F463" i="2"/>
  <c r="G463" i="2" s="1"/>
  <c r="B463" i="2"/>
  <c r="L462" i="2"/>
  <c r="K462" i="2"/>
  <c r="F462" i="2"/>
  <c r="G462" i="2" s="1"/>
  <c r="B462" i="2"/>
  <c r="L461" i="2"/>
  <c r="K461" i="2"/>
  <c r="F461" i="2"/>
  <c r="G461" i="2" s="1"/>
  <c r="B461" i="2"/>
  <c r="L460" i="2"/>
  <c r="K460" i="2"/>
  <c r="F460" i="2"/>
  <c r="G460" i="2" s="1"/>
  <c r="B460" i="2"/>
  <c r="L459" i="2"/>
  <c r="K459" i="2"/>
  <c r="F459" i="2"/>
  <c r="G459" i="2" s="1"/>
  <c r="B459" i="2"/>
  <c r="L458" i="2"/>
  <c r="K458" i="2"/>
  <c r="F458" i="2"/>
  <c r="G458" i="2" s="1"/>
  <c r="B458" i="2"/>
  <c r="L457" i="2"/>
  <c r="K457" i="2"/>
  <c r="F457" i="2"/>
  <c r="G457" i="2" s="1"/>
  <c r="B457" i="2"/>
  <c r="L456" i="2"/>
  <c r="K456" i="2"/>
  <c r="F456" i="2"/>
  <c r="G456" i="2" s="1"/>
  <c r="B456" i="2"/>
  <c r="L455" i="2"/>
  <c r="K455" i="2"/>
  <c r="F455" i="2"/>
  <c r="G455" i="2" s="1"/>
  <c r="B455" i="2"/>
  <c r="L454" i="2"/>
  <c r="K454" i="2"/>
  <c r="F454" i="2"/>
  <c r="G454" i="2" s="1"/>
  <c r="B454" i="2"/>
  <c r="L453" i="2"/>
  <c r="K453" i="2"/>
  <c r="F453" i="2"/>
  <c r="G453" i="2" s="1"/>
  <c r="B453" i="2"/>
  <c r="L452" i="2"/>
  <c r="K452" i="2"/>
  <c r="F452" i="2"/>
  <c r="G452" i="2" s="1"/>
  <c r="B452" i="2"/>
  <c r="L451" i="2"/>
  <c r="K451" i="2"/>
  <c r="F451" i="2"/>
  <c r="G451" i="2" s="1"/>
  <c r="B451" i="2"/>
  <c r="L450" i="2"/>
  <c r="K450" i="2"/>
  <c r="F450" i="2"/>
  <c r="G450" i="2" s="1"/>
  <c r="B450" i="2"/>
  <c r="L449" i="2"/>
  <c r="K449" i="2"/>
  <c r="F449" i="2"/>
  <c r="G449" i="2" s="1"/>
  <c r="B449" i="2"/>
  <c r="L448" i="2"/>
  <c r="K448" i="2"/>
  <c r="F448" i="2"/>
  <c r="G448" i="2" s="1"/>
  <c r="B448" i="2"/>
  <c r="L447" i="2"/>
  <c r="K447" i="2"/>
  <c r="F447" i="2"/>
  <c r="G447" i="2" s="1"/>
  <c r="B447" i="2"/>
  <c r="L446" i="2"/>
  <c r="K446" i="2"/>
  <c r="F446" i="2"/>
  <c r="G446" i="2" s="1"/>
  <c r="B446" i="2"/>
  <c r="L445" i="2"/>
  <c r="K445" i="2"/>
  <c r="F445" i="2"/>
  <c r="G445" i="2" s="1"/>
  <c r="B445" i="2"/>
  <c r="L444" i="2"/>
  <c r="K444" i="2"/>
  <c r="F444" i="2"/>
  <c r="G444" i="2" s="1"/>
  <c r="B444" i="2"/>
  <c r="L443" i="2"/>
  <c r="K443" i="2"/>
  <c r="F443" i="2"/>
  <c r="G443" i="2" s="1"/>
  <c r="B443" i="2"/>
  <c r="L442" i="2"/>
  <c r="K442" i="2"/>
  <c r="F442" i="2"/>
  <c r="G442" i="2" s="1"/>
  <c r="B442" i="2"/>
  <c r="L441" i="2"/>
  <c r="K441" i="2"/>
  <c r="F441" i="2"/>
  <c r="G441" i="2" s="1"/>
  <c r="B441" i="2"/>
  <c r="L440" i="2"/>
  <c r="K440" i="2"/>
  <c r="F440" i="2"/>
  <c r="G440" i="2" s="1"/>
  <c r="B440" i="2"/>
  <c r="L439" i="2"/>
  <c r="K439" i="2"/>
  <c r="F439" i="2"/>
  <c r="G439" i="2" s="1"/>
  <c r="B439" i="2"/>
  <c r="L438" i="2"/>
  <c r="K438" i="2"/>
  <c r="F438" i="2"/>
  <c r="G438" i="2" s="1"/>
  <c r="B438" i="2"/>
  <c r="L437" i="2"/>
  <c r="K437" i="2"/>
  <c r="F437" i="2"/>
  <c r="G437" i="2" s="1"/>
  <c r="B437" i="2"/>
  <c r="L436" i="2"/>
  <c r="K436" i="2"/>
  <c r="F436" i="2"/>
  <c r="G436" i="2" s="1"/>
  <c r="B436" i="2"/>
  <c r="L435" i="2"/>
  <c r="K435" i="2"/>
  <c r="G435" i="2"/>
  <c r="F435" i="2"/>
  <c r="B435" i="2"/>
  <c r="L434" i="2"/>
  <c r="K434" i="2"/>
  <c r="F434" i="2"/>
  <c r="G434" i="2" s="1"/>
  <c r="B434" i="2"/>
  <c r="L433" i="2"/>
  <c r="K433" i="2"/>
  <c r="F433" i="2"/>
  <c r="G433" i="2" s="1"/>
  <c r="B433" i="2"/>
  <c r="L432" i="2"/>
  <c r="K432" i="2"/>
  <c r="F432" i="2"/>
  <c r="G432" i="2" s="1"/>
  <c r="B432" i="2"/>
  <c r="L431" i="2"/>
  <c r="K431" i="2"/>
  <c r="F431" i="2"/>
  <c r="G431" i="2" s="1"/>
  <c r="B431" i="2"/>
  <c r="L430" i="2"/>
  <c r="K430" i="2"/>
  <c r="F430" i="2"/>
  <c r="G430" i="2" s="1"/>
  <c r="B430" i="2"/>
  <c r="L429" i="2"/>
  <c r="K429" i="2"/>
  <c r="F429" i="2"/>
  <c r="G429" i="2" s="1"/>
  <c r="B429" i="2"/>
  <c r="L428" i="2"/>
  <c r="K428" i="2"/>
  <c r="F428" i="2"/>
  <c r="G428" i="2" s="1"/>
  <c r="B428" i="2"/>
  <c r="L427" i="2"/>
  <c r="K427" i="2"/>
  <c r="F427" i="2"/>
  <c r="G427" i="2" s="1"/>
  <c r="B427" i="2"/>
  <c r="L426" i="2"/>
  <c r="K426" i="2"/>
  <c r="F426" i="2"/>
  <c r="G426" i="2" s="1"/>
  <c r="B426" i="2"/>
  <c r="L425" i="2"/>
  <c r="K425" i="2"/>
  <c r="F425" i="2"/>
  <c r="G425" i="2" s="1"/>
  <c r="B425" i="2"/>
  <c r="L424" i="2"/>
  <c r="K424" i="2"/>
  <c r="F424" i="2"/>
  <c r="G424" i="2" s="1"/>
  <c r="B424" i="2"/>
  <c r="L423" i="2"/>
  <c r="K423" i="2"/>
  <c r="F423" i="2"/>
  <c r="G423" i="2" s="1"/>
  <c r="B423" i="2"/>
  <c r="L422" i="2"/>
  <c r="K422" i="2"/>
  <c r="F422" i="2"/>
  <c r="G422" i="2" s="1"/>
  <c r="B422" i="2"/>
  <c r="L421" i="2"/>
  <c r="K421" i="2"/>
  <c r="F421" i="2"/>
  <c r="G421" i="2" s="1"/>
  <c r="B421" i="2"/>
  <c r="L420" i="2"/>
  <c r="K420" i="2"/>
  <c r="F420" i="2"/>
  <c r="G420" i="2" s="1"/>
  <c r="B420" i="2"/>
  <c r="L419" i="2"/>
  <c r="K419" i="2"/>
  <c r="F419" i="2"/>
  <c r="G419" i="2" s="1"/>
  <c r="B419" i="2"/>
  <c r="L418" i="2"/>
  <c r="K418" i="2"/>
  <c r="F418" i="2"/>
  <c r="G418" i="2" s="1"/>
  <c r="B418" i="2"/>
  <c r="L417" i="2"/>
  <c r="K417" i="2"/>
  <c r="F417" i="2"/>
  <c r="G417" i="2" s="1"/>
  <c r="B417" i="2"/>
  <c r="L416" i="2"/>
  <c r="K416" i="2"/>
  <c r="F416" i="2"/>
  <c r="G416" i="2" s="1"/>
  <c r="B416" i="2"/>
  <c r="L415" i="2"/>
  <c r="K415" i="2"/>
  <c r="F415" i="2"/>
  <c r="G415" i="2" s="1"/>
  <c r="B415" i="2"/>
  <c r="L414" i="2"/>
  <c r="K414" i="2"/>
  <c r="F414" i="2"/>
  <c r="G414" i="2" s="1"/>
  <c r="B414" i="2"/>
  <c r="L413" i="2"/>
  <c r="K413" i="2"/>
  <c r="F413" i="2"/>
  <c r="G413" i="2" s="1"/>
  <c r="B413" i="2"/>
  <c r="L412" i="2"/>
  <c r="K412" i="2"/>
  <c r="F412" i="2"/>
  <c r="G412" i="2" s="1"/>
  <c r="B412" i="2"/>
  <c r="L411" i="2"/>
  <c r="K411" i="2"/>
  <c r="F411" i="2"/>
  <c r="G411" i="2" s="1"/>
  <c r="B411" i="2"/>
  <c r="L410" i="2"/>
  <c r="K410" i="2"/>
  <c r="F410" i="2"/>
  <c r="G410" i="2" s="1"/>
  <c r="B410" i="2"/>
  <c r="L409" i="2"/>
  <c r="K409" i="2"/>
  <c r="F409" i="2"/>
  <c r="G409" i="2" s="1"/>
  <c r="B409" i="2"/>
  <c r="L408" i="2"/>
  <c r="K408" i="2"/>
  <c r="F408" i="2"/>
  <c r="G408" i="2" s="1"/>
  <c r="B408" i="2"/>
  <c r="L407" i="2"/>
  <c r="K407" i="2"/>
  <c r="F407" i="2"/>
  <c r="G407" i="2" s="1"/>
  <c r="B407" i="2"/>
  <c r="L406" i="2"/>
  <c r="K406" i="2"/>
  <c r="F406" i="2"/>
  <c r="G406" i="2" s="1"/>
  <c r="B406" i="2"/>
  <c r="L405" i="2"/>
  <c r="K405" i="2"/>
  <c r="F405" i="2"/>
  <c r="G405" i="2" s="1"/>
  <c r="B405" i="2"/>
  <c r="L404" i="2"/>
  <c r="K404" i="2"/>
  <c r="F404" i="2"/>
  <c r="G404" i="2" s="1"/>
  <c r="B404" i="2"/>
  <c r="L403" i="2"/>
  <c r="K403" i="2"/>
  <c r="F403" i="2"/>
  <c r="G403" i="2" s="1"/>
  <c r="B403" i="2"/>
  <c r="L402" i="2"/>
  <c r="K402" i="2"/>
  <c r="F402" i="2"/>
  <c r="G402" i="2" s="1"/>
  <c r="B402" i="2"/>
  <c r="L401" i="2"/>
  <c r="K401" i="2"/>
  <c r="F401" i="2"/>
  <c r="G401" i="2" s="1"/>
  <c r="B401" i="2"/>
  <c r="L400" i="2"/>
  <c r="K400" i="2"/>
  <c r="F400" i="2"/>
  <c r="G400" i="2" s="1"/>
  <c r="B400" i="2"/>
  <c r="L399" i="2"/>
  <c r="K399" i="2"/>
  <c r="F399" i="2"/>
  <c r="G399" i="2" s="1"/>
  <c r="B399" i="2"/>
  <c r="L398" i="2"/>
  <c r="K398" i="2"/>
  <c r="F398" i="2"/>
  <c r="G398" i="2" s="1"/>
  <c r="B398" i="2"/>
  <c r="L397" i="2"/>
  <c r="K397" i="2"/>
  <c r="F397" i="2"/>
  <c r="G397" i="2" s="1"/>
  <c r="B397" i="2"/>
  <c r="L396" i="2"/>
  <c r="K396" i="2"/>
  <c r="F396" i="2"/>
  <c r="G396" i="2" s="1"/>
  <c r="B396" i="2"/>
  <c r="L395" i="2"/>
  <c r="K395" i="2"/>
  <c r="F395" i="2"/>
  <c r="G395" i="2" s="1"/>
  <c r="B395" i="2"/>
  <c r="L394" i="2"/>
  <c r="K394" i="2"/>
  <c r="F394" i="2"/>
  <c r="G394" i="2" s="1"/>
  <c r="B394" i="2"/>
  <c r="L393" i="2"/>
  <c r="K393" i="2"/>
  <c r="F393" i="2"/>
  <c r="G393" i="2" s="1"/>
  <c r="B393" i="2"/>
  <c r="L392" i="2"/>
  <c r="K392" i="2"/>
  <c r="F392" i="2"/>
  <c r="G392" i="2" s="1"/>
  <c r="B392" i="2"/>
  <c r="L391" i="2"/>
  <c r="K391" i="2"/>
  <c r="F391" i="2"/>
  <c r="G391" i="2" s="1"/>
  <c r="B391" i="2"/>
  <c r="L390" i="2"/>
  <c r="K390" i="2"/>
  <c r="F390" i="2"/>
  <c r="G390" i="2" s="1"/>
  <c r="B390" i="2"/>
  <c r="L389" i="2"/>
  <c r="K389" i="2"/>
  <c r="F389" i="2"/>
  <c r="G389" i="2" s="1"/>
  <c r="B389" i="2"/>
  <c r="L388" i="2"/>
  <c r="K388" i="2"/>
  <c r="F388" i="2"/>
  <c r="G388" i="2" s="1"/>
  <c r="B388" i="2"/>
  <c r="L387" i="2"/>
  <c r="K387" i="2"/>
  <c r="F387" i="2"/>
  <c r="G387" i="2" s="1"/>
  <c r="B387" i="2"/>
  <c r="L386" i="2"/>
  <c r="K386" i="2"/>
  <c r="F386" i="2"/>
  <c r="G386" i="2" s="1"/>
  <c r="B386" i="2"/>
  <c r="L385" i="2"/>
  <c r="K385" i="2"/>
  <c r="F385" i="2"/>
  <c r="G385" i="2" s="1"/>
  <c r="B385" i="2"/>
  <c r="L384" i="2"/>
  <c r="K384" i="2"/>
  <c r="F384" i="2"/>
  <c r="G384" i="2" s="1"/>
  <c r="B384" i="2"/>
  <c r="L383" i="2"/>
  <c r="K383" i="2"/>
  <c r="F383" i="2"/>
  <c r="G383" i="2" s="1"/>
  <c r="B383" i="2"/>
  <c r="L382" i="2"/>
  <c r="K382" i="2"/>
  <c r="F382" i="2"/>
  <c r="G382" i="2" s="1"/>
  <c r="B382" i="2"/>
  <c r="L381" i="2"/>
  <c r="K381" i="2"/>
  <c r="F381" i="2"/>
  <c r="G381" i="2" s="1"/>
  <c r="B381" i="2"/>
  <c r="L380" i="2"/>
  <c r="K380" i="2"/>
  <c r="F380" i="2"/>
  <c r="G380" i="2" s="1"/>
  <c r="B380" i="2"/>
  <c r="L379" i="2"/>
  <c r="K379" i="2"/>
  <c r="F379" i="2"/>
  <c r="G379" i="2" s="1"/>
  <c r="B379" i="2"/>
  <c r="L378" i="2"/>
  <c r="K378" i="2"/>
  <c r="F378" i="2"/>
  <c r="G378" i="2" s="1"/>
  <c r="B378" i="2"/>
  <c r="L377" i="2"/>
  <c r="K377" i="2"/>
  <c r="F377" i="2"/>
  <c r="G377" i="2" s="1"/>
  <c r="B377" i="2"/>
  <c r="L376" i="2"/>
  <c r="K376" i="2"/>
  <c r="F376" i="2"/>
  <c r="G376" i="2" s="1"/>
  <c r="B376" i="2"/>
  <c r="L375" i="2"/>
  <c r="K375" i="2"/>
  <c r="F375" i="2"/>
  <c r="G375" i="2" s="1"/>
  <c r="B375" i="2"/>
  <c r="L374" i="2"/>
  <c r="K374" i="2"/>
  <c r="F374" i="2"/>
  <c r="G374" i="2" s="1"/>
  <c r="B374" i="2"/>
  <c r="L373" i="2"/>
  <c r="K373" i="2"/>
  <c r="F373" i="2"/>
  <c r="G373" i="2" s="1"/>
  <c r="B373" i="2"/>
  <c r="L372" i="2"/>
  <c r="K372" i="2"/>
  <c r="F372" i="2"/>
  <c r="G372" i="2" s="1"/>
  <c r="B372" i="2"/>
  <c r="L371" i="2"/>
  <c r="K371" i="2"/>
  <c r="F371" i="2"/>
  <c r="G371" i="2" s="1"/>
  <c r="B371" i="2"/>
  <c r="L370" i="2"/>
  <c r="K370" i="2"/>
  <c r="F370" i="2"/>
  <c r="G370" i="2" s="1"/>
  <c r="B370" i="2"/>
  <c r="L369" i="2"/>
  <c r="K369" i="2"/>
  <c r="F369" i="2"/>
  <c r="G369" i="2" s="1"/>
  <c r="B369" i="2"/>
  <c r="L368" i="2"/>
  <c r="K368" i="2"/>
  <c r="F368" i="2"/>
  <c r="G368" i="2" s="1"/>
  <c r="B368" i="2"/>
  <c r="L367" i="2"/>
  <c r="K367" i="2"/>
  <c r="F367" i="2"/>
  <c r="G367" i="2" s="1"/>
  <c r="B367" i="2"/>
  <c r="L366" i="2"/>
  <c r="K366" i="2"/>
  <c r="F366" i="2"/>
  <c r="G366" i="2" s="1"/>
  <c r="B366" i="2"/>
  <c r="L365" i="2"/>
  <c r="K365" i="2"/>
  <c r="F365" i="2"/>
  <c r="G365" i="2" s="1"/>
  <c r="B365" i="2"/>
  <c r="L364" i="2"/>
  <c r="K364" i="2"/>
  <c r="F364" i="2"/>
  <c r="G364" i="2" s="1"/>
  <c r="B364" i="2"/>
  <c r="L363" i="2"/>
  <c r="K363" i="2"/>
  <c r="F363" i="2"/>
  <c r="G363" i="2" s="1"/>
  <c r="B363" i="2"/>
  <c r="L362" i="2"/>
  <c r="K362" i="2"/>
  <c r="F362" i="2"/>
  <c r="G362" i="2" s="1"/>
  <c r="B362" i="2"/>
  <c r="L361" i="2"/>
  <c r="K361" i="2"/>
  <c r="F361" i="2"/>
  <c r="G361" i="2" s="1"/>
  <c r="B361" i="2"/>
  <c r="L360" i="2"/>
  <c r="K360" i="2"/>
  <c r="F360" i="2"/>
  <c r="G360" i="2" s="1"/>
  <c r="B360" i="2"/>
  <c r="L359" i="2"/>
  <c r="K359" i="2"/>
  <c r="F359" i="2"/>
  <c r="G359" i="2" s="1"/>
  <c r="B359" i="2"/>
  <c r="L358" i="2"/>
  <c r="K358" i="2"/>
  <c r="F358" i="2"/>
  <c r="G358" i="2" s="1"/>
  <c r="B358" i="2"/>
  <c r="L357" i="2"/>
  <c r="K357" i="2"/>
  <c r="F357" i="2"/>
  <c r="G357" i="2" s="1"/>
  <c r="B357" i="2"/>
  <c r="L356" i="2"/>
  <c r="K356" i="2"/>
  <c r="F356" i="2"/>
  <c r="G356" i="2" s="1"/>
  <c r="B356" i="2"/>
  <c r="L355" i="2"/>
  <c r="K355" i="2"/>
  <c r="F355" i="2"/>
  <c r="G355" i="2" s="1"/>
  <c r="B355" i="2"/>
  <c r="L354" i="2"/>
  <c r="K354" i="2"/>
  <c r="F354" i="2"/>
  <c r="G354" i="2" s="1"/>
  <c r="B354" i="2"/>
  <c r="L353" i="2"/>
  <c r="K353" i="2"/>
  <c r="F353" i="2"/>
  <c r="G353" i="2" s="1"/>
  <c r="B353" i="2"/>
  <c r="L352" i="2"/>
  <c r="K352" i="2"/>
  <c r="F352" i="2"/>
  <c r="G352" i="2" s="1"/>
  <c r="B352" i="2"/>
  <c r="L351" i="2"/>
  <c r="K351" i="2"/>
  <c r="F351" i="2"/>
  <c r="G351" i="2" s="1"/>
  <c r="B351" i="2"/>
  <c r="L350" i="2"/>
  <c r="K350" i="2"/>
  <c r="F350" i="2"/>
  <c r="G350" i="2" s="1"/>
  <c r="B350" i="2"/>
  <c r="L349" i="2"/>
  <c r="K349" i="2"/>
  <c r="F349" i="2"/>
  <c r="G349" i="2" s="1"/>
  <c r="B349" i="2"/>
  <c r="L348" i="2"/>
  <c r="K348" i="2"/>
  <c r="F348" i="2"/>
  <c r="G348" i="2" s="1"/>
  <c r="B348" i="2"/>
  <c r="L347" i="2"/>
  <c r="K347" i="2"/>
  <c r="F347" i="2"/>
  <c r="G347" i="2" s="1"/>
  <c r="B347" i="2"/>
  <c r="L346" i="2"/>
  <c r="K346" i="2"/>
  <c r="F346" i="2"/>
  <c r="G346" i="2" s="1"/>
  <c r="B346" i="2"/>
  <c r="L345" i="2"/>
  <c r="K345" i="2"/>
  <c r="F345" i="2"/>
  <c r="G345" i="2" s="1"/>
  <c r="B345" i="2"/>
  <c r="L344" i="2"/>
  <c r="K344" i="2"/>
  <c r="F344" i="2"/>
  <c r="G344" i="2" s="1"/>
  <c r="B344" i="2"/>
  <c r="L343" i="2"/>
  <c r="K343" i="2"/>
  <c r="F343" i="2"/>
  <c r="G343" i="2" s="1"/>
  <c r="B343" i="2"/>
  <c r="L342" i="2"/>
  <c r="K342" i="2"/>
  <c r="F342" i="2"/>
  <c r="G342" i="2" s="1"/>
  <c r="B342" i="2"/>
  <c r="L341" i="2"/>
  <c r="K341" i="2"/>
  <c r="F341" i="2"/>
  <c r="G341" i="2" s="1"/>
  <c r="B341" i="2"/>
  <c r="L340" i="2"/>
  <c r="K340" i="2"/>
  <c r="F340" i="2"/>
  <c r="G340" i="2" s="1"/>
  <c r="B340" i="2"/>
  <c r="L339" i="2"/>
  <c r="K339" i="2"/>
  <c r="F339" i="2"/>
  <c r="G339" i="2" s="1"/>
  <c r="B339" i="2"/>
  <c r="L338" i="2"/>
  <c r="K338" i="2"/>
  <c r="F338" i="2"/>
  <c r="G338" i="2" s="1"/>
  <c r="B338" i="2"/>
  <c r="L337" i="2"/>
  <c r="K337" i="2"/>
  <c r="F337" i="2"/>
  <c r="G337" i="2" s="1"/>
  <c r="B337" i="2"/>
  <c r="L336" i="2"/>
  <c r="K336" i="2"/>
  <c r="F336" i="2"/>
  <c r="G336" i="2" s="1"/>
  <c r="B336" i="2"/>
  <c r="L335" i="2"/>
  <c r="K335" i="2"/>
  <c r="F335" i="2"/>
  <c r="G335" i="2" s="1"/>
  <c r="B335" i="2"/>
  <c r="L334" i="2"/>
  <c r="K334" i="2"/>
  <c r="F334" i="2"/>
  <c r="G334" i="2" s="1"/>
  <c r="B334" i="2"/>
  <c r="L333" i="2"/>
  <c r="K333" i="2"/>
  <c r="F333" i="2"/>
  <c r="G333" i="2" s="1"/>
  <c r="B333" i="2"/>
  <c r="L332" i="2"/>
  <c r="K332" i="2"/>
  <c r="F332" i="2"/>
  <c r="G332" i="2" s="1"/>
  <c r="B332" i="2"/>
  <c r="L331" i="2"/>
  <c r="K331" i="2"/>
  <c r="F331" i="2"/>
  <c r="G331" i="2" s="1"/>
  <c r="B331" i="2"/>
  <c r="L330" i="2"/>
  <c r="K330" i="2"/>
  <c r="F330" i="2"/>
  <c r="G330" i="2" s="1"/>
  <c r="B330" i="2"/>
  <c r="L329" i="2"/>
  <c r="K329" i="2"/>
  <c r="F329" i="2"/>
  <c r="G329" i="2" s="1"/>
  <c r="B329" i="2"/>
  <c r="L328" i="2"/>
  <c r="K328" i="2"/>
  <c r="F328" i="2"/>
  <c r="G328" i="2" s="1"/>
  <c r="B328" i="2"/>
  <c r="L327" i="2"/>
  <c r="K327" i="2"/>
  <c r="F327" i="2"/>
  <c r="G327" i="2" s="1"/>
  <c r="B327" i="2"/>
  <c r="L326" i="2"/>
  <c r="K326" i="2"/>
  <c r="F326" i="2"/>
  <c r="G326" i="2" s="1"/>
  <c r="B326" i="2"/>
  <c r="L325" i="2"/>
  <c r="K325" i="2"/>
  <c r="F325" i="2"/>
  <c r="G325" i="2" s="1"/>
  <c r="B325" i="2"/>
  <c r="L324" i="2"/>
  <c r="K324" i="2"/>
  <c r="F324" i="2"/>
  <c r="G324" i="2" s="1"/>
  <c r="B324" i="2"/>
  <c r="L323" i="2"/>
  <c r="K323" i="2"/>
  <c r="F323" i="2"/>
  <c r="G323" i="2" s="1"/>
  <c r="B323" i="2"/>
  <c r="L322" i="2"/>
  <c r="K322" i="2"/>
  <c r="F322" i="2"/>
  <c r="G322" i="2" s="1"/>
  <c r="B322" i="2"/>
  <c r="L321" i="2"/>
  <c r="K321" i="2"/>
  <c r="F321" i="2"/>
  <c r="G321" i="2" s="1"/>
  <c r="B321" i="2"/>
  <c r="L320" i="2"/>
  <c r="K320" i="2"/>
  <c r="F320" i="2"/>
  <c r="G320" i="2" s="1"/>
  <c r="B320" i="2"/>
  <c r="L319" i="2"/>
  <c r="K319" i="2"/>
  <c r="G319" i="2"/>
  <c r="F319" i="2"/>
  <c r="B319" i="2"/>
  <c r="L318" i="2"/>
  <c r="K318" i="2"/>
  <c r="F318" i="2"/>
  <c r="G318" i="2" s="1"/>
  <c r="B318" i="2"/>
  <c r="L317" i="2"/>
  <c r="K317" i="2"/>
  <c r="F317" i="2"/>
  <c r="G317" i="2" s="1"/>
  <c r="B317" i="2"/>
  <c r="L316" i="2"/>
  <c r="K316" i="2"/>
  <c r="F316" i="2"/>
  <c r="G316" i="2" s="1"/>
  <c r="B316" i="2"/>
  <c r="L315" i="2"/>
  <c r="K315" i="2"/>
  <c r="F315" i="2"/>
  <c r="G315" i="2" s="1"/>
  <c r="B315" i="2"/>
  <c r="L314" i="2"/>
  <c r="K314" i="2"/>
  <c r="F314" i="2"/>
  <c r="G314" i="2" s="1"/>
  <c r="B314" i="2"/>
  <c r="L313" i="2"/>
  <c r="K313" i="2"/>
  <c r="F313" i="2"/>
  <c r="G313" i="2" s="1"/>
  <c r="B313" i="2"/>
  <c r="L312" i="2"/>
  <c r="K312" i="2"/>
  <c r="F312" i="2"/>
  <c r="G312" i="2" s="1"/>
  <c r="B312" i="2"/>
  <c r="L311" i="2"/>
  <c r="K311" i="2"/>
  <c r="F311" i="2"/>
  <c r="G311" i="2" s="1"/>
  <c r="B311" i="2"/>
  <c r="L310" i="2"/>
  <c r="K310" i="2"/>
  <c r="F310" i="2"/>
  <c r="G310" i="2" s="1"/>
  <c r="B310" i="2"/>
  <c r="L309" i="2"/>
  <c r="K309" i="2"/>
  <c r="F309" i="2"/>
  <c r="G309" i="2" s="1"/>
  <c r="B309" i="2"/>
  <c r="L308" i="2"/>
  <c r="K308" i="2"/>
  <c r="F308" i="2"/>
  <c r="G308" i="2" s="1"/>
  <c r="B308" i="2"/>
  <c r="L307" i="2"/>
  <c r="K307" i="2"/>
  <c r="F307" i="2"/>
  <c r="G307" i="2" s="1"/>
  <c r="B307" i="2"/>
  <c r="L306" i="2"/>
  <c r="K306" i="2"/>
  <c r="F306" i="2"/>
  <c r="G306" i="2" s="1"/>
  <c r="B306" i="2"/>
  <c r="L305" i="2"/>
  <c r="K305" i="2"/>
  <c r="F305" i="2"/>
  <c r="G305" i="2" s="1"/>
  <c r="B305" i="2"/>
  <c r="L304" i="2"/>
  <c r="K304" i="2"/>
  <c r="F304" i="2"/>
  <c r="G304" i="2" s="1"/>
  <c r="B304" i="2"/>
  <c r="L303" i="2"/>
  <c r="K303" i="2"/>
  <c r="F303" i="2"/>
  <c r="G303" i="2" s="1"/>
  <c r="B303" i="2"/>
  <c r="L302" i="2"/>
  <c r="K302" i="2"/>
  <c r="F302" i="2"/>
  <c r="G302" i="2" s="1"/>
  <c r="B302" i="2"/>
  <c r="L301" i="2"/>
  <c r="K301" i="2"/>
  <c r="F301" i="2"/>
  <c r="G301" i="2" s="1"/>
  <c r="B301" i="2"/>
  <c r="L300" i="2"/>
  <c r="K300" i="2"/>
  <c r="F300" i="2"/>
  <c r="G300" i="2" s="1"/>
  <c r="B300" i="2"/>
  <c r="L299" i="2"/>
  <c r="K299" i="2"/>
  <c r="F299" i="2"/>
  <c r="G299" i="2" s="1"/>
  <c r="B299" i="2"/>
  <c r="L298" i="2"/>
  <c r="K298" i="2"/>
  <c r="F298" i="2"/>
  <c r="G298" i="2" s="1"/>
  <c r="B298" i="2"/>
  <c r="L297" i="2"/>
  <c r="K297" i="2"/>
  <c r="F297" i="2"/>
  <c r="G297" i="2" s="1"/>
  <c r="B297" i="2"/>
  <c r="L296" i="2"/>
  <c r="K296" i="2"/>
  <c r="F296" i="2"/>
  <c r="G296" i="2" s="1"/>
  <c r="B296" i="2"/>
  <c r="L295" i="2"/>
  <c r="K295" i="2"/>
  <c r="F295" i="2"/>
  <c r="G295" i="2" s="1"/>
  <c r="B295" i="2"/>
  <c r="L294" i="2"/>
  <c r="K294" i="2"/>
  <c r="F294" i="2"/>
  <c r="G294" i="2" s="1"/>
  <c r="B294" i="2"/>
  <c r="L293" i="2"/>
  <c r="K293" i="2"/>
  <c r="F293" i="2"/>
  <c r="G293" i="2" s="1"/>
  <c r="B293" i="2"/>
  <c r="L292" i="2"/>
  <c r="K292" i="2"/>
  <c r="F292" i="2"/>
  <c r="G292" i="2" s="1"/>
  <c r="B292" i="2"/>
  <c r="L291" i="2"/>
  <c r="K291" i="2"/>
  <c r="F291" i="2"/>
  <c r="G291" i="2" s="1"/>
  <c r="B291" i="2"/>
  <c r="L290" i="2"/>
  <c r="K290" i="2"/>
  <c r="F290" i="2"/>
  <c r="G290" i="2" s="1"/>
  <c r="B290" i="2"/>
  <c r="L289" i="2"/>
  <c r="K289" i="2"/>
  <c r="F289" i="2"/>
  <c r="G289" i="2" s="1"/>
  <c r="B289" i="2"/>
  <c r="L288" i="2"/>
  <c r="K288" i="2"/>
  <c r="F288" i="2"/>
  <c r="G288" i="2" s="1"/>
  <c r="B288" i="2"/>
  <c r="L287" i="2"/>
  <c r="K287" i="2"/>
  <c r="F287" i="2"/>
  <c r="G287" i="2" s="1"/>
  <c r="B287" i="2"/>
  <c r="L286" i="2"/>
  <c r="K286" i="2"/>
  <c r="F286" i="2"/>
  <c r="G286" i="2" s="1"/>
  <c r="B286" i="2"/>
  <c r="L285" i="2"/>
  <c r="K285" i="2"/>
  <c r="F285" i="2"/>
  <c r="G285" i="2" s="1"/>
  <c r="B285" i="2"/>
  <c r="L284" i="2"/>
  <c r="K284" i="2"/>
  <c r="F284" i="2"/>
  <c r="G284" i="2" s="1"/>
  <c r="B284" i="2"/>
  <c r="L283" i="2"/>
  <c r="K283" i="2"/>
  <c r="F283" i="2"/>
  <c r="G283" i="2" s="1"/>
  <c r="B283" i="2"/>
  <c r="L282" i="2"/>
  <c r="K282" i="2"/>
  <c r="F282" i="2"/>
  <c r="G282" i="2" s="1"/>
  <c r="B282" i="2"/>
  <c r="L281" i="2"/>
  <c r="K281" i="2"/>
  <c r="F281" i="2"/>
  <c r="G281" i="2" s="1"/>
  <c r="B281" i="2"/>
  <c r="L280" i="2"/>
  <c r="K280" i="2"/>
  <c r="F280" i="2"/>
  <c r="G280" i="2" s="1"/>
  <c r="B280" i="2"/>
  <c r="L279" i="2"/>
  <c r="K279" i="2"/>
  <c r="F279" i="2"/>
  <c r="G279" i="2" s="1"/>
  <c r="B279" i="2"/>
  <c r="L278" i="2"/>
  <c r="K278" i="2"/>
  <c r="F278" i="2"/>
  <c r="G278" i="2" s="1"/>
  <c r="B278" i="2"/>
  <c r="L277" i="2"/>
  <c r="K277" i="2"/>
  <c r="F277" i="2"/>
  <c r="G277" i="2" s="1"/>
  <c r="B277" i="2"/>
  <c r="L276" i="2"/>
  <c r="K276" i="2"/>
  <c r="F276" i="2"/>
  <c r="G276" i="2" s="1"/>
  <c r="B276" i="2"/>
  <c r="L275" i="2"/>
  <c r="K275" i="2"/>
  <c r="F275" i="2"/>
  <c r="G275" i="2" s="1"/>
  <c r="B275" i="2"/>
  <c r="L274" i="2"/>
  <c r="K274" i="2"/>
  <c r="F274" i="2"/>
  <c r="G274" i="2" s="1"/>
  <c r="B274" i="2"/>
  <c r="L273" i="2"/>
  <c r="K273" i="2"/>
  <c r="F273" i="2"/>
  <c r="G273" i="2" s="1"/>
  <c r="B273" i="2"/>
  <c r="L272" i="2"/>
  <c r="K272" i="2"/>
  <c r="F272" i="2"/>
  <c r="G272" i="2" s="1"/>
  <c r="B272" i="2"/>
  <c r="L271" i="2"/>
  <c r="K271" i="2"/>
  <c r="F271" i="2"/>
  <c r="G271" i="2" s="1"/>
  <c r="B271" i="2"/>
  <c r="L270" i="2"/>
  <c r="K270" i="2"/>
  <c r="F270" i="2"/>
  <c r="G270" i="2" s="1"/>
  <c r="B270" i="2"/>
  <c r="L269" i="2"/>
  <c r="K269" i="2"/>
  <c r="F269" i="2"/>
  <c r="G269" i="2" s="1"/>
  <c r="B269" i="2"/>
  <c r="L268" i="2"/>
  <c r="K268" i="2"/>
  <c r="F268" i="2"/>
  <c r="G268" i="2" s="1"/>
  <c r="B268" i="2"/>
  <c r="L267" i="2"/>
  <c r="K267" i="2"/>
  <c r="F267" i="2"/>
  <c r="G267" i="2" s="1"/>
  <c r="B267" i="2"/>
  <c r="L266" i="2"/>
  <c r="K266" i="2"/>
  <c r="F266" i="2"/>
  <c r="G266" i="2" s="1"/>
  <c r="B266" i="2"/>
  <c r="L265" i="2"/>
  <c r="K265" i="2"/>
  <c r="F265" i="2"/>
  <c r="G265" i="2" s="1"/>
  <c r="B265" i="2"/>
  <c r="L264" i="2"/>
  <c r="K264" i="2"/>
  <c r="F264" i="2"/>
  <c r="G264" i="2" s="1"/>
  <c r="B264" i="2"/>
  <c r="L263" i="2"/>
  <c r="K263" i="2"/>
  <c r="F263" i="2"/>
  <c r="G263" i="2" s="1"/>
  <c r="B263" i="2"/>
  <c r="L262" i="2"/>
  <c r="K262" i="2"/>
  <c r="F262" i="2"/>
  <c r="G262" i="2" s="1"/>
  <c r="B262" i="2"/>
  <c r="L261" i="2"/>
  <c r="K261" i="2"/>
  <c r="F261" i="2"/>
  <c r="G261" i="2" s="1"/>
  <c r="B261" i="2"/>
  <c r="L260" i="2"/>
  <c r="K260" i="2"/>
  <c r="F260" i="2"/>
  <c r="G260" i="2" s="1"/>
  <c r="B260" i="2"/>
  <c r="L259" i="2"/>
  <c r="K259" i="2"/>
  <c r="F259" i="2"/>
  <c r="G259" i="2" s="1"/>
  <c r="B259" i="2"/>
  <c r="L258" i="2"/>
  <c r="K258" i="2"/>
  <c r="F258" i="2"/>
  <c r="G258" i="2" s="1"/>
  <c r="B258" i="2"/>
  <c r="L257" i="2"/>
  <c r="K257" i="2"/>
  <c r="F257" i="2"/>
  <c r="G257" i="2" s="1"/>
  <c r="B257" i="2"/>
  <c r="L256" i="2"/>
  <c r="K256" i="2"/>
  <c r="F256" i="2"/>
  <c r="G256" i="2" s="1"/>
  <c r="B256" i="2"/>
  <c r="L255" i="2"/>
  <c r="K255" i="2"/>
  <c r="F255" i="2"/>
  <c r="G255" i="2" s="1"/>
  <c r="B255" i="2"/>
  <c r="L254" i="2"/>
  <c r="K254" i="2"/>
  <c r="F254" i="2"/>
  <c r="G254" i="2" s="1"/>
  <c r="B254" i="2"/>
  <c r="L253" i="2"/>
  <c r="K253" i="2"/>
  <c r="F253" i="2"/>
  <c r="G253" i="2" s="1"/>
  <c r="B253" i="2"/>
  <c r="L252" i="2"/>
  <c r="K252" i="2"/>
  <c r="F252" i="2"/>
  <c r="G252" i="2" s="1"/>
  <c r="B252" i="2"/>
  <c r="L251" i="2"/>
  <c r="K251" i="2"/>
  <c r="F251" i="2"/>
  <c r="G251" i="2" s="1"/>
  <c r="B251" i="2"/>
  <c r="L250" i="2"/>
  <c r="K250" i="2"/>
  <c r="F250" i="2"/>
  <c r="G250" i="2" s="1"/>
  <c r="B250" i="2"/>
  <c r="L249" i="2"/>
  <c r="K249" i="2"/>
  <c r="F249" i="2"/>
  <c r="G249" i="2" s="1"/>
  <c r="B249" i="2"/>
  <c r="L248" i="2"/>
  <c r="K248" i="2"/>
  <c r="F248" i="2"/>
  <c r="G248" i="2" s="1"/>
  <c r="B248" i="2"/>
  <c r="L247" i="2"/>
  <c r="K247" i="2"/>
  <c r="G247" i="2"/>
  <c r="F247" i="2"/>
  <c r="B247" i="2"/>
  <c r="L246" i="2"/>
  <c r="K246" i="2"/>
  <c r="F246" i="2"/>
  <c r="G246" i="2" s="1"/>
  <c r="B246" i="2"/>
  <c r="L245" i="2"/>
  <c r="K245" i="2"/>
  <c r="F245" i="2"/>
  <c r="G245" i="2" s="1"/>
  <c r="B245" i="2"/>
  <c r="L244" i="2"/>
  <c r="K244" i="2"/>
  <c r="F244" i="2"/>
  <c r="G244" i="2" s="1"/>
  <c r="B244" i="2"/>
  <c r="L243" i="2"/>
  <c r="K243" i="2"/>
  <c r="F243" i="2"/>
  <c r="G243" i="2" s="1"/>
  <c r="B243" i="2"/>
  <c r="L242" i="2"/>
  <c r="K242" i="2"/>
  <c r="F242" i="2"/>
  <c r="G242" i="2" s="1"/>
  <c r="B242" i="2"/>
  <c r="L241" i="2"/>
  <c r="K241" i="2"/>
  <c r="F241" i="2"/>
  <c r="G241" i="2" s="1"/>
  <c r="B241" i="2"/>
  <c r="L240" i="2"/>
  <c r="K240" i="2"/>
  <c r="F240" i="2"/>
  <c r="G240" i="2" s="1"/>
  <c r="B240" i="2"/>
  <c r="L239" i="2"/>
  <c r="K239" i="2"/>
  <c r="F239" i="2"/>
  <c r="G239" i="2" s="1"/>
  <c r="B239" i="2"/>
  <c r="L238" i="2"/>
  <c r="K238" i="2"/>
  <c r="F238" i="2"/>
  <c r="G238" i="2" s="1"/>
  <c r="B238" i="2"/>
  <c r="L237" i="2"/>
  <c r="K237" i="2"/>
  <c r="F237" i="2"/>
  <c r="G237" i="2" s="1"/>
  <c r="B237" i="2"/>
  <c r="L236" i="2"/>
  <c r="K236" i="2"/>
  <c r="F236" i="2"/>
  <c r="G236" i="2" s="1"/>
  <c r="B236" i="2"/>
  <c r="L235" i="2"/>
  <c r="K235" i="2"/>
  <c r="F235" i="2"/>
  <c r="G235" i="2" s="1"/>
  <c r="B235" i="2"/>
  <c r="L234" i="2"/>
  <c r="K234" i="2"/>
  <c r="F234" i="2"/>
  <c r="G234" i="2" s="1"/>
  <c r="B234" i="2"/>
  <c r="L233" i="2"/>
  <c r="K233" i="2"/>
  <c r="F233" i="2"/>
  <c r="G233" i="2" s="1"/>
  <c r="B233" i="2"/>
  <c r="L232" i="2"/>
  <c r="K232" i="2"/>
  <c r="F232" i="2"/>
  <c r="G232" i="2" s="1"/>
  <c r="B232" i="2"/>
  <c r="L231" i="2"/>
  <c r="K231" i="2"/>
  <c r="F231" i="2"/>
  <c r="G231" i="2" s="1"/>
  <c r="B231" i="2"/>
  <c r="L230" i="2"/>
  <c r="K230" i="2"/>
  <c r="F230" i="2"/>
  <c r="G230" i="2" s="1"/>
  <c r="B230" i="2"/>
  <c r="L229" i="2"/>
  <c r="K229" i="2"/>
  <c r="F229" i="2"/>
  <c r="G229" i="2" s="1"/>
  <c r="B229" i="2"/>
  <c r="L228" i="2"/>
  <c r="K228" i="2"/>
  <c r="F228" i="2"/>
  <c r="G228" i="2" s="1"/>
  <c r="B228" i="2"/>
  <c r="L227" i="2"/>
  <c r="K227" i="2"/>
  <c r="F227" i="2"/>
  <c r="G227" i="2" s="1"/>
  <c r="B227" i="2"/>
  <c r="L226" i="2"/>
  <c r="K226" i="2"/>
  <c r="F226" i="2"/>
  <c r="G226" i="2" s="1"/>
  <c r="B226" i="2"/>
  <c r="L225" i="2"/>
  <c r="K225" i="2"/>
  <c r="F225" i="2"/>
  <c r="G225" i="2" s="1"/>
  <c r="B225" i="2"/>
  <c r="L224" i="2"/>
  <c r="K224" i="2"/>
  <c r="F224" i="2"/>
  <c r="G224" i="2" s="1"/>
  <c r="B224" i="2"/>
  <c r="L223" i="2"/>
  <c r="K223" i="2"/>
  <c r="F223" i="2"/>
  <c r="G223" i="2" s="1"/>
  <c r="B223" i="2"/>
  <c r="L222" i="2"/>
  <c r="K222" i="2"/>
  <c r="F222" i="2"/>
  <c r="G222" i="2" s="1"/>
  <c r="B222" i="2"/>
  <c r="L221" i="2"/>
  <c r="K221" i="2"/>
  <c r="F221" i="2"/>
  <c r="G221" i="2" s="1"/>
  <c r="B221" i="2"/>
  <c r="L220" i="2"/>
  <c r="K220" i="2"/>
  <c r="F220" i="2"/>
  <c r="G220" i="2" s="1"/>
  <c r="B220" i="2"/>
  <c r="L219" i="2"/>
  <c r="K219" i="2"/>
  <c r="F219" i="2"/>
  <c r="G219" i="2" s="1"/>
  <c r="B219" i="2"/>
  <c r="L218" i="2"/>
  <c r="K218" i="2"/>
  <c r="F218" i="2"/>
  <c r="G218" i="2" s="1"/>
  <c r="B218" i="2"/>
  <c r="L217" i="2"/>
  <c r="K217" i="2"/>
  <c r="F217" i="2"/>
  <c r="G217" i="2" s="1"/>
  <c r="B217" i="2"/>
  <c r="L216" i="2"/>
  <c r="K216" i="2"/>
  <c r="F216" i="2"/>
  <c r="G216" i="2" s="1"/>
  <c r="B216" i="2"/>
  <c r="L215" i="2"/>
  <c r="K215" i="2"/>
  <c r="F215" i="2"/>
  <c r="G215" i="2" s="1"/>
  <c r="B215" i="2"/>
  <c r="L214" i="2"/>
  <c r="K214" i="2"/>
  <c r="F214" i="2"/>
  <c r="G214" i="2" s="1"/>
  <c r="B214" i="2"/>
  <c r="L213" i="2"/>
  <c r="K213" i="2"/>
  <c r="F213" i="2"/>
  <c r="G213" i="2" s="1"/>
  <c r="B213" i="2"/>
  <c r="L212" i="2"/>
  <c r="K212" i="2"/>
  <c r="F212" i="2"/>
  <c r="G212" i="2" s="1"/>
  <c r="B212" i="2"/>
  <c r="L211" i="2"/>
  <c r="K211" i="2"/>
  <c r="F211" i="2"/>
  <c r="G211" i="2" s="1"/>
  <c r="B211" i="2"/>
  <c r="L210" i="2"/>
  <c r="K210" i="2"/>
  <c r="F210" i="2"/>
  <c r="G210" i="2" s="1"/>
  <c r="B210" i="2"/>
  <c r="L209" i="2"/>
  <c r="K209" i="2"/>
  <c r="F209" i="2"/>
  <c r="G209" i="2" s="1"/>
  <c r="B209" i="2"/>
  <c r="L208" i="2"/>
  <c r="K208" i="2"/>
  <c r="F208" i="2"/>
  <c r="G208" i="2" s="1"/>
  <c r="B208" i="2"/>
  <c r="L207" i="2"/>
  <c r="K207" i="2"/>
  <c r="F207" i="2"/>
  <c r="G207" i="2" s="1"/>
  <c r="B207" i="2"/>
  <c r="L206" i="2"/>
  <c r="K206" i="2"/>
  <c r="F206" i="2"/>
  <c r="G206" i="2" s="1"/>
  <c r="B206" i="2"/>
  <c r="L205" i="2"/>
  <c r="K205" i="2"/>
  <c r="F205" i="2"/>
  <c r="G205" i="2" s="1"/>
  <c r="B205" i="2"/>
  <c r="L204" i="2"/>
  <c r="K204" i="2"/>
  <c r="F204" i="2"/>
  <c r="G204" i="2" s="1"/>
  <c r="B204" i="2"/>
  <c r="L203" i="2"/>
  <c r="K203" i="2"/>
  <c r="F203" i="2"/>
  <c r="G203" i="2" s="1"/>
  <c r="B203" i="2"/>
  <c r="L202" i="2"/>
  <c r="K202" i="2"/>
  <c r="F202" i="2"/>
  <c r="G202" i="2" s="1"/>
  <c r="B202" i="2"/>
  <c r="L201" i="2"/>
  <c r="K201" i="2"/>
  <c r="F201" i="2"/>
  <c r="G201" i="2" s="1"/>
  <c r="B201" i="2"/>
  <c r="L200" i="2"/>
  <c r="K200" i="2"/>
  <c r="F200" i="2"/>
  <c r="G200" i="2" s="1"/>
  <c r="B200" i="2"/>
  <c r="L199" i="2"/>
  <c r="K199" i="2"/>
  <c r="F199" i="2"/>
  <c r="G199" i="2" s="1"/>
  <c r="B199" i="2"/>
  <c r="L198" i="2"/>
  <c r="K198" i="2"/>
  <c r="F198" i="2"/>
  <c r="G198" i="2" s="1"/>
  <c r="B198" i="2"/>
  <c r="L197" i="2"/>
  <c r="K197" i="2"/>
  <c r="F197" i="2"/>
  <c r="G197" i="2" s="1"/>
  <c r="B197" i="2"/>
  <c r="L196" i="2"/>
  <c r="K196" i="2"/>
  <c r="F196" i="2"/>
  <c r="G196" i="2" s="1"/>
  <c r="B196" i="2"/>
  <c r="L195" i="2"/>
  <c r="K195" i="2"/>
  <c r="F195" i="2"/>
  <c r="G195" i="2" s="1"/>
  <c r="B195" i="2"/>
  <c r="L194" i="2"/>
  <c r="K194" i="2"/>
  <c r="F194" i="2"/>
  <c r="G194" i="2" s="1"/>
  <c r="B194" i="2"/>
  <c r="L193" i="2"/>
  <c r="K193" i="2"/>
  <c r="F193" i="2"/>
  <c r="G193" i="2" s="1"/>
  <c r="B193" i="2"/>
  <c r="L192" i="2"/>
  <c r="K192" i="2"/>
  <c r="F192" i="2"/>
  <c r="G192" i="2" s="1"/>
  <c r="B192" i="2"/>
  <c r="L191" i="2"/>
  <c r="K191" i="2"/>
  <c r="F191" i="2"/>
  <c r="G191" i="2" s="1"/>
  <c r="B191" i="2"/>
  <c r="L190" i="2"/>
  <c r="K190" i="2"/>
  <c r="F190" i="2"/>
  <c r="G190" i="2" s="1"/>
  <c r="B190" i="2"/>
  <c r="L189" i="2"/>
  <c r="K189" i="2"/>
  <c r="F189" i="2"/>
  <c r="G189" i="2" s="1"/>
  <c r="B189" i="2"/>
  <c r="L188" i="2"/>
  <c r="K188" i="2"/>
  <c r="F188" i="2"/>
  <c r="G188" i="2" s="1"/>
  <c r="B188" i="2"/>
  <c r="L187" i="2"/>
  <c r="K187" i="2"/>
  <c r="F187" i="2"/>
  <c r="G187" i="2" s="1"/>
  <c r="B187" i="2"/>
  <c r="L186" i="2"/>
  <c r="K186" i="2"/>
  <c r="F186" i="2"/>
  <c r="G186" i="2" s="1"/>
  <c r="B186" i="2"/>
  <c r="L185" i="2"/>
  <c r="K185" i="2"/>
  <c r="F185" i="2"/>
  <c r="G185" i="2" s="1"/>
  <c r="B185" i="2"/>
  <c r="L184" i="2"/>
  <c r="K184" i="2"/>
  <c r="F184" i="2"/>
  <c r="G184" i="2" s="1"/>
  <c r="B184" i="2"/>
  <c r="L183" i="2"/>
  <c r="K183" i="2"/>
  <c r="G183" i="2"/>
  <c r="F183" i="2"/>
  <c r="B183" i="2"/>
  <c r="L182" i="2"/>
  <c r="K182" i="2"/>
  <c r="F182" i="2"/>
  <c r="G182" i="2" s="1"/>
  <c r="B182" i="2"/>
  <c r="L181" i="2"/>
  <c r="K181" i="2"/>
  <c r="F181" i="2"/>
  <c r="G181" i="2" s="1"/>
  <c r="B181" i="2"/>
  <c r="L180" i="2"/>
  <c r="K180" i="2"/>
  <c r="F180" i="2"/>
  <c r="G180" i="2" s="1"/>
  <c r="B180" i="2"/>
  <c r="L179" i="2"/>
  <c r="K179" i="2"/>
  <c r="F179" i="2"/>
  <c r="G179" i="2" s="1"/>
  <c r="B179" i="2"/>
  <c r="L178" i="2"/>
  <c r="K178" i="2"/>
  <c r="F178" i="2"/>
  <c r="G178" i="2" s="1"/>
  <c r="B178" i="2"/>
  <c r="L177" i="2"/>
  <c r="K177" i="2"/>
  <c r="F177" i="2"/>
  <c r="G177" i="2" s="1"/>
  <c r="B177" i="2"/>
  <c r="L176" i="2"/>
  <c r="K176" i="2"/>
  <c r="F176" i="2"/>
  <c r="G176" i="2" s="1"/>
  <c r="B176" i="2"/>
  <c r="L175" i="2"/>
  <c r="K175" i="2"/>
  <c r="F175" i="2"/>
  <c r="G175" i="2" s="1"/>
  <c r="B175" i="2"/>
  <c r="L174" i="2"/>
  <c r="K174" i="2"/>
  <c r="F174" i="2"/>
  <c r="G174" i="2" s="1"/>
  <c r="B174" i="2"/>
  <c r="L173" i="2"/>
  <c r="K173" i="2"/>
  <c r="F173" i="2"/>
  <c r="G173" i="2" s="1"/>
  <c r="B173" i="2"/>
  <c r="L172" i="2"/>
  <c r="K172" i="2"/>
  <c r="F172" i="2"/>
  <c r="G172" i="2" s="1"/>
  <c r="B172" i="2"/>
  <c r="L171" i="2"/>
  <c r="K171" i="2"/>
  <c r="F171" i="2"/>
  <c r="G171" i="2" s="1"/>
  <c r="B171" i="2"/>
  <c r="L170" i="2"/>
  <c r="K170" i="2"/>
  <c r="F170" i="2"/>
  <c r="G170" i="2" s="1"/>
  <c r="B170" i="2"/>
  <c r="L169" i="2"/>
  <c r="K169" i="2"/>
  <c r="F169" i="2"/>
  <c r="G169" i="2" s="1"/>
  <c r="B169" i="2"/>
  <c r="L168" i="2"/>
  <c r="K168" i="2"/>
  <c r="F168" i="2"/>
  <c r="G168" i="2" s="1"/>
  <c r="B168" i="2"/>
  <c r="L167" i="2"/>
  <c r="K167" i="2"/>
  <c r="F167" i="2"/>
  <c r="G167" i="2" s="1"/>
  <c r="B167" i="2"/>
  <c r="L166" i="2"/>
  <c r="K166" i="2"/>
  <c r="F166" i="2"/>
  <c r="G166" i="2" s="1"/>
  <c r="B166" i="2"/>
  <c r="L165" i="2"/>
  <c r="K165" i="2"/>
  <c r="F165" i="2"/>
  <c r="G165" i="2" s="1"/>
  <c r="B165" i="2"/>
  <c r="L164" i="2"/>
  <c r="K164" i="2"/>
  <c r="F164" i="2"/>
  <c r="G164" i="2" s="1"/>
  <c r="B164" i="2"/>
  <c r="L163" i="2"/>
  <c r="K163" i="2"/>
  <c r="F163" i="2"/>
  <c r="G163" i="2" s="1"/>
  <c r="B163" i="2"/>
  <c r="L162" i="2"/>
  <c r="K162" i="2"/>
  <c r="F162" i="2"/>
  <c r="G162" i="2" s="1"/>
  <c r="B162" i="2"/>
  <c r="L161" i="2"/>
  <c r="K161" i="2"/>
  <c r="F161" i="2"/>
  <c r="G161" i="2" s="1"/>
  <c r="B161" i="2"/>
  <c r="L160" i="2"/>
  <c r="K160" i="2"/>
  <c r="F160" i="2"/>
  <c r="G160" i="2" s="1"/>
  <c r="B160" i="2"/>
  <c r="L159" i="2"/>
  <c r="K159" i="2"/>
  <c r="F159" i="2"/>
  <c r="G159" i="2" s="1"/>
  <c r="B159" i="2"/>
  <c r="L158" i="2"/>
  <c r="K158" i="2"/>
  <c r="F158" i="2"/>
  <c r="G158" i="2" s="1"/>
  <c r="B158" i="2"/>
  <c r="L157" i="2"/>
  <c r="K157" i="2"/>
  <c r="F157" i="2"/>
  <c r="G157" i="2" s="1"/>
  <c r="B157" i="2"/>
  <c r="L156" i="2"/>
  <c r="K156" i="2"/>
  <c r="F156" i="2"/>
  <c r="G156" i="2" s="1"/>
  <c r="B156" i="2"/>
  <c r="L155" i="2"/>
  <c r="K155" i="2"/>
  <c r="F155" i="2"/>
  <c r="G155" i="2" s="1"/>
  <c r="B155" i="2"/>
  <c r="L154" i="2"/>
  <c r="K154" i="2"/>
  <c r="F154" i="2"/>
  <c r="G154" i="2" s="1"/>
  <c r="B154" i="2"/>
  <c r="L153" i="2"/>
  <c r="K153" i="2"/>
  <c r="F153" i="2"/>
  <c r="G153" i="2" s="1"/>
  <c r="B153" i="2"/>
  <c r="L152" i="2"/>
  <c r="K152" i="2"/>
  <c r="F152" i="2"/>
  <c r="G152" i="2" s="1"/>
  <c r="B152" i="2"/>
  <c r="L151" i="2"/>
  <c r="K151" i="2"/>
  <c r="F151" i="2"/>
  <c r="G151" i="2" s="1"/>
  <c r="B151" i="2"/>
  <c r="L150" i="2"/>
  <c r="K150" i="2"/>
  <c r="F150" i="2"/>
  <c r="G150" i="2" s="1"/>
  <c r="B150" i="2"/>
  <c r="L149" i="2"/>
  <c r="K149" i="2"/>
  <c r="F149" i="2"/>
  <c r="G149" i="2" s="1"/>
  <c r="B149" i="2"/>
  <c r="L148" i="2"/>
  <c r="K148" i="2"/>
  <c r="F148" i="2"/>
  <c r="G148" i="2" s="1"/>
  <c r="B148" i="2"/>
  <c r="L147" i="2"/>
  <c r="K147" i="2"/>
  <c r="F147" i="2"/>
  <c r="G147" i="2" s="1"/>
  <c r="B147" i="2"/>
  <c r="L146" i="2"/>
  <c r="K146" i="2"/>
  <c r="F146" i="2"/>
  <c r="G146" i="2" s="1"/>
  <c r="B146" i="2"/>
  <c r="L145" i="2"/>
  <c r="K145" i="2"/>
  <c r="F145" i="2"/>
  <c r="G145" i="2" s="1"/>
  <c r="B145" i="2"/>
  <c r="L144" i="2"/>
  <c r="K144" i="2"/>
  <c r="F144" i="2"/>
  <c r="G144" i="2" s="1"/>
  <c r="B144" i="2"/>
  <c r="L143" i="2"/>
  <c r="K143" i="2"/>
  <c r="F143" i="2"/>
  <c r="G143" i="2" s="1"/>
  <c r="B143" i="2"/>
  <c r="L142" i="2"/>
  <c r="K142" i="2"/>
  <c r="F142" i="2"/>
  <c r="G142" i="2" s="1"/>
  <c r="B142" i="2"/>
  <c r="L141" i="2"/>
  <c r="K141" i="2"/>
  <c r="F141" i="2"/>
  <c r="G141" i="2" s="1"/>
  <c r="B141" i="2"/>
  <c r="L140" i="2"/>
  <c r="K140" i="2"/>
  <c r="F140" i="2"/>
  <c r="G140" i="2" s="1"/>
  <c r="B140" i="2"/>
  <c r="L139" i="2"/>
  <c r="K139" i="2"/>
  <c r="F139" i="2"/>
  <c r="G139" i="2" s="1"/>
  <c r="B139" i="2"/>
  <c r="L138" i="2"/>
  <c r="K138" i="2"/>
  <c r="F138" i="2"/>
  <c r="G138" i="2" s="1"/>
  <c r="B138" i="2"/>
  <c r="L137" i="2"/>
  <c r="K137" i="2"/>
  <c r="F137" i="2"/>
  <c r="G137" i="2" s="1"/>
  <c r="B137" i="2"/>
  <c r="L136" i="2"/>
  <c r="K136" i="2"/>
  <c r="F136" i="2"/>
  <c r="G136" i="2" s="1"/>
  <c r="B136" i="2"/>
  <c r="L135" i="2"/>
  <c r="K135" i="2"/>
  <c r="F135" i="2"/>
  <c r="G135" i="2" s="1"/>
  <c r="B135" i="2"/>
  <c r="L134" i="2"/>
  <c r="K134" i="2"/>
  <c r="F134" i="2"/>
  <c r="G134" i="2" s="1"/>
  <c r="B134" i="2"/>
  <c r="L133" i="2"/>
  <c r="K133" i="2"/>
  <c r="F133" i="2"/>
  <c r="G133" i="2" s="1"/>
  <c r="B133" i="2"/>
  <c r="L132" i="2"/>
  <c r="K132" i="2"/>
  <c r="F132" i="2"/>
  <c r="G132" i="2" s="1"/>
  <c r="B132" i="2"/>
  <c r="L131" i="2"/>
  <c r="K131" i="2"/>
  <c r="F131" i="2"/>
  <c r="G131" i="2" s="1"/>
  <c r="B131" i="2"/>
  <c r="L130" i="2"/>
  <c r="K130" i="2"/>
  <c r="F130" i="2"/>
  <c r="G130" i="2" s="1"/>
  <c r="B130" i="2"/>
  <c r="L129" i="2"/>
  <c r="K129" i="2"/>
  <c r="F129" i="2"/>
  <c r="G129" i="2" s="1"/>
  <c r="B129" i="2"/>
  <c r="L128" i="2"/>
  <c r="K128" i="2"/>
  <c r="F128" i="2"/>
  <c r="G128" i="2" s="1"/>
  <c r="B128" i="2"/>
  <c r="L127" i="2"/>
  <c r="K127" i="2"/>
  <c r="F127" i="2"/>
  <c r="G127" i="2" s="1"/>
  <c r="B127" i="2"/>
  <c r="L126" i="2"/>
  <c r="K126" i="2"/>
  <c r="F126" i="2"/>
  <c r="G126" i="2" s="1"/>
  <c r="B126" i="2"/>
  <c r="L125" i="2"/>
  <c r="K125" i="2"/>
  <c r="F125" i="2"/>
  <c r="G125" i="2" s="1"/>
  <c r="B125" i="2"/>
  <c r="L124" i="2"/>
  <c r="K124" i="2"/>
  <c r="F124" i="2"/>
  <c r="G124" i="2" s="1"/>
  <c r="B124" i="2"/>
  <c r="L123" i="2"/>
  <c r="K123" i="2"/>
  <c r="F123" i="2"/>
  <c r="G123" i="2" s="1"/>
  <c r="B123" i="2"/>
  <c r="L122" i="2"/>
  <c r="K122" i="2"/>
  <c r="F122" i="2"/>
  <c r="G122" i="2" s="1"/>
  <c r="B122" i="2"/>
  <c r="L121" i="2"/>
  <c r="K121" i="2"/>
  <c r="F121" i="2"/>
  <c r="G121" i="2" s="1"/>
  <c r="B121" i="2"/>
  <c r="L120" i="2"/>
  <c r="K120" i="2"/>
  <c r="F120" i="2"/>
  <c r="G120" i="2" s="1"/>
  <c r="B120" i="2"/>
  <c r="L119" i="2"/>
  <c r="K119" i="2"/>
  <c r="F119" i="2"/>
  <c r="G119" i="2" s="1"/>
  <c r="B119" i="2"/>
  <c r="L118" i="2"/>
  <c r="K118" i="2"/>
  <c r="F118" i="2"/>
  <c r="G118" i="2" s="1"/>
  <c r="B118" i="2"/>
  <c r="L117" i="2"/>
  <c r="K117" i="2"/>
  <c r="F117" i="2"/>
  <c r="G117" i="2" s="1"/>
  <c r="B117" i="2"/>
  <c r="L116" i="2"/>
  <c r="K116" i="2"/>
  <c r="F116" i="2"/>
  <c r="G116" i="2" s="1"/>
  <c r="B116" i="2"/>
  <c r="L115" i="2"/>
  <c r="K115" i="2"/>
  <c r="F115" i="2"/>
  <c r="G115" i="2" s="1"/>
  <c r="B115" i="2"/>
  <c r="L114" i="2"/>
  <c r="K114" i="2"/>
  <c r="F114" i="2"/>
  <c r="G114" i="2" s="1"/>
  <c r="B114" i="2"/>
  <c r="L113" i="2"/>
  <c r="K113" i="2"/>
  <c r="F113" i="2"/>
  <c r="G113" i="2" s="1"/>
  <c r="B113" i="2"/>
  <c r="L112" i="2"/>
  <c r="K112" i="2"/>
  <c r="F112" i="2"/>
  <c r="G112" i="2" s="1"/>
  <c r="B112" i="2"/>
  <c r="L111" i="2"/>
  <c r="K111" i="2"/>
  <c r="F111" i="2"/>
  <c r="G111" i="2" s="1"/>
  <c r="B111" i="2"/>
  <c r="L110" i="2"/>
  <c r="K110" i="2"/>
  <c r="F110" i="2"/>
  <c r="G110" i="2" s="1"/>
  <c r="B110" i="2"/>
  <c r="L109" i="2"/>
  <c r="K109" i="2"/>
  <c r="F109" i="2"/>
  <c r="G109" i="2" s="1"/>
  <c r="B109" i="2"/>
  <c r="L108" i="2"/>
  <c r="K108" i="2"/>
  <c r="F108" i="2"/>
  <c r="G108" i="2" s="1"/>
  <c r="B108" i="2"/>
  <c r="L107" i="2"/>
  <c r="K107" i="2"/>
  <c r="F107" i="2"/>
  <c r="G107" i="2" s="1"/>
  <c r="B107" i="2"/>
  <c r="L106" i="2"/>
  <c r="K106" i="2"/>
  <c r="F106" i="2"/>
  <c r="G106" i="2" s="1"/>
  <c r="B106" i="2"/>
  <c r="L105" i="2"/>
  <c r="K105" i="2"/>
  <c r="F105" i="2"/>
  <c r="G105" i="2" s="1"/>
  <c r="B105" i="2"/>
  <c r="L104" i="2"/>
  <c r="K104" i="2"/>
  <c r="F104" i="2"/>
  <c r="G104" i="2" s="1"/>
  <c r="B104" i="2"/>
  <c r="L103" i="2"/>
  <c r="K103" i="2"/>
  <c r="F103" i="2"/>
  <c r="G103" i="2" s="1"/>
  <c r="B103" i="2"/>
  <c r="L102" i="2"/>
  <c r="K102" i="2"/>
  <c r="F102" i="2"/>
  <c r="G102" i="2" s="1"/>
  <c r="B102" i="2"/>
  <c r="L101" i="2"/>
  <c r="K101" i="2"/>
  <c r="F101" i="2"/>
  <c r="G101" i="2" s="1"/>
  <c r="B101" i="2"/>
  <c r="L100" i="2"/>
  <c r="K100" i="2"/>
  <c r="F100" i="2"/>
  <c r="G100" i="2" s="1"/>
  <c r="B100" i="2"/>
  <c r="L99" i="2"/>
  <c r="K99" i="2"/>
  <c r="F99" i="2"/>
  <c r="G99" i="2" s="1"/>
  <c r="B99" i="2"/>
  <c r="L98" i="2"/>
  <c r="K98" i="2"/>
  <c r="F98" i="2"/>
  <c r="G98" i="2" s="1"/>
  <c r="B98" i="2"/>
  <c r="L97" i="2"/>
  <c r="K97" i="2"/>
  <c r="F97" i="2"/>
  <c r="G97" i="2" s="1"/>
  <c r="B97" i="2"/>
  <c r="L96" i="2"/>
  <c r="K96" i="2"/>
  <c r="F96" i="2"/>
  <c r="G96" i="2" s="1"/>
  <c r="B96" i="2"/>
  <c r="L95" i="2"/>
  <c r="K95" i="2"/>
  <c r="F95" i="2"/>
  <c r="G95" i="2" s="1"/>
  <c r="B95" i="2"/>
  <c r="L94" i="2"/>
  <c r="K94" i="2"/>
  <c r="F94" i="2"/>
  <c r="G94" i="2" s="1"/>
  <c r="B94" i="2"/>
  <c r="L93" i="2"/>
  <c r="K93" i="2"/>
  <c r="F93" i="2"/>
  <c r="G93" i="2" s="1"/>
  <c r="B93" i="2"/>
  <c r="L92" i="2"/>
  <c r="K92" i="2"/>
  <c r="F92" i="2"/>
  <c r="G92" i="2" s="1"/>
  <c r="B92" i="2"/>
  <c r="L91" i="2"/>
  <c r="K91" i="2"/>
  <c r="F91" i="2"/>
  <c r="G91" i="2" s="1"/>
  <c r="B91" i="2"/>
  <c r="L90" i="2"/>
  <c r="K90" i="2"/>
  <c r="F90" i="2"/>
  <c r="G90" i="2" s="1"/>
  <c r="B90" i="2"/>
  <c r="L89" i="2"/>
  <c r="K89" i="2"/>
  <c r="F89" i="2"/>
  <c r="G89" i="2" s="1"/>
  <c r="B89" i="2"/>
  <c r="L88" i="2"/>
  <c r="K88" i="2"/>
  <c r="F88" i="2"/>
  <c r="G88" i="2" s="1"/>
  <c r="B88" i="2"/>
  <c r="L87" i="2"/>
  <c r="K87" i="2"/>
  <c r="F87" i="2"/>
  <c r="G87" i="2" s="1"/>
  <c r="B87" i="2"/>
  <c r="L86" i="2"/>
  <c r="K86" i="2"/>
  <c r="F86" i="2"/>
  <c r="G86" i="2" s="1"/>
  <c r="B86" i="2"/>
  <c r="L85" i="2"/>
  <c r="K85" i="2"/>
  <c r="F85" i="2"/>
  <c r="G85" i="2" s="1"/>
  <c r="B85" i="2"/>
  <c r="L84" i="2"/>
  <c r="K84" i="2"/>
  <c r="F84" i="2"/>
  <c r="G84" i="2" s="1"/>
  <c r="B84" i="2"/>
  <c r="L83" i="2"/>
  <c r="K83" i="2"/>
  <c r="F83" i="2"/>
  <c r="G83" i="2" s="1"/>
  <c r="B83" i="2"/>
  <c r="L82" i="2"/>
  <c r="K82" i="2"/>
  <c r="F82" i="2"/>
  <c r="G82" i="2" s="1"/>
  <c r="B82" i="2"/>
  <c r="L81" i="2"/>
  <c r="K81" i="2"/>
  <c r="F81" i="2"/>
  <c r="G81" i="2" s="1"/>
  <c r="B81" i="2"/>
  <c r="L80" i="2"/>
  <c r="K80" i="2"/>
  <c r="F80" i="2"/>
  <c r="G80" i="2" s="1"/>
  <c r="B80" i="2"/>
  <c r="L79" i="2"/>
  <c r="K79" i="2"/>
  <c r="F79" i="2"/>
  <c r="G79" i="2" s="1"/>
  <c r="B79" i="2"/>
  <c r="L78" i="2"/>
  <c r="K78" i="2"/>
  <c r="F78" i="2"/>
  <c r="G78" i="2" s="1"/>
  <c r="B78" i="2"/>
  <c r="L77" i="2"/>
  <c r="K77" i="2"/>
  <c r="F77" i="2"/>
  <c r="G77" i="2" s="1"/>
  <c r="B77" i="2"/>
  <c r="L76" i="2"/>
  <c r="K76" i="2"/>
  <c r="F76" i="2"/>
  <c r="G76" i="2" s="1"/>
  <c r="B76" i="2"/>
  <c r="L75" i="2"/>
  <c r="K75" i="2"/>
  <c r="F75" i="2"/>
  <c r="G75" i="2" s="1"/>
  <c r="B75" i="2"/>
  <c r="L74" i="2"/>
  <c r="K74" i="2"/>
  <c r="F74" i="2"/>
  <c r="G74" i="2" s="1"/>
  <c r="B74" i="2"/>
  <c r="L73" i="2"/>
  <c r="K73" i="2"/>
  <c r="F73" i="2"/>
  <c r="G73" i="2" s="1"/>
  <c r="B73" i="2"/>
  <c r="L72" i="2"/>
  <c r="K72" i="2"/>
  <c r="F72" i="2"/>
  <c r="G72" i="2" s="1"/>
  <c r="B72" i="2"/>
  <c r="L71" i="2"/>
  <c r="K71" i="2"/>
  <c r="F71" i="2"/>
  <c r="G71" i="2" s="1"/>
  <c r="B71" i="2"/>
  <c r="L70" i="2"/>
  <c r="K70" i="2"/>
  <c r="F70" i="2"/>
  <c r="G70" i="2" s="1"/>
  <c r="B70" i="2"/>
  <c r="L69" i="2"/>
  <c r="K69" i="2"/>
  <c r="F69" i="2"/>
  <c r="G69" i="2" s="1"/>
  <c r="B69" i="2"/>
  <c r="L68" i="2"/>
  <c r="K68" i="2"/>
  <c r="F68" i="2"/>
  <c r="G68" i="2" s="1"/>
  <c r="B68" i="2"/>
  <c r="L67" i="2"/>
  <c r="K67" i="2"/>
  <c r="F67" i="2"/>
  <c r="G67" i="2" s="1"/>
  <c r="B67" i="2"/>
  <c r="L66" i="2"/>
  <c r="K66" i="2"/>
  <c r="F66" i="2"/>
  <c r="G66" i="2" s="1"/>
  <c r="B66" i="2"/>
  <c r="L65" i="2"/>
  <c r="K65" i="2"/>
  <c r="F65" i="2"/>
  <c r="G65" i="2" s="1"/>
  <c r="B65" i="2"/>
  <c r="L64" i="2"/>
  <c r="K64" i="2"/>
  <c r="F64" i="2"/>
  <c r="G64" i="2" s="1"/>
  <c r="B64" i="2"/>
  <c r="L63" i="2"/>
  <c r="K63" i="2"/>
  <c r="F63" i="2"/>
  <c r="G63" i="2" s="1"/>
  <c r="B63" i="2"/>
  <c r="L62" i="2"/>
  <c r="K62" i="2"/>
  <c r="F62" i="2"/>
  <c r="G62" i="2" s="1"/>
  <c r="B62" i="2"/>
  <c r="L61" i="2"/>
  <c r="K61" i="2"/>
  <c r="F61" i="2"/>
  <c r="G61" i="2" s="1"/>
  <c r="B61" i="2"/>
  <c r="L60" i="2"/>
  <c r="K60" i="2"/>
  <c r="F60" i="2"/>
  <c r="G60" i="2" s="1"/>
  <c r="B60" i="2"/>
  <c r="L59" i="2"/>
  <c r="K59" i="2"/>
  <c r="F59" i="2"/>
  <c r="G59" i="2" s="1"/>
  <c r="B59" i="2"/>
  <c r="L58" i="2"/>
  <c r="K58" i="2"/>
  <c r="F58" i="2"/>
  <c r="G58" i="2" s="1"/>
  <c r="B58" i="2"/>
  <c r="L57" i="2"/>
  <c r="K57" i="2"/>
  <c r="F57" i="2"/>
  <c r="G57" i="2" s="1"/>
  <c r="B57" i="2"/>
  <c r="L56" i="2"/>
  <c r="K56" i="2"/>
  <c r="F56" i="2"/>
  <c r="G56" i="2" s="1"/>
  <c r="B56" i="2"/>
  <c r="L55" i="2"/>
  <c r="K55" i="2"/>
  <c r="F55" i="2"/>
  <c r="G55" i="2" s="1"/>
  <c r="B55" i="2"/>
  <c r="L54" i="2"/>
  <c r="K54" i="2"/>
  <c r="F54" i="2"/>
  <c r="G54" i="2" s="1"/>
  <c r="B54" i="2"/>
  <c r="L53" i="2"/>
  <c r="K53" i="2"/>
  <c r="F53" i="2"/>
  <c r="G53" i="2" s="1"/>
  <c r="B53" i="2"/>
  <c r="L52" i="2"/>
  <c r="K52" i="2"/>
  <c r="F52" i="2"/>
  <c r="G52" i="2" s="1"/>
  <c r="B52" i="2"/>
  <c r="L51" i="2"/>
  <c r="K51" i="2"/>
  <c r="F51" i="2"/>
  <c r="G51" i="2" s="1"/>
  <c r="B51" i="2"/>
  <c r="L50" i="2"/>
  <c r="K50" i="2"/>
  <c r="F50" i="2"/>
  <c r="G50" i="2" s="1"/>
  <c r="B50" i="2"/>
  <c r="L49" i="2"/>
  <c r="K49" i="2"/>
  <c r="F49" i="2"/>
  <c r="G49" i="2" s="1"/>
  <c r="B49" i="2"/>
  <c r="L48" i="2"/>
  <c r="K48" i="2"/>
  <c r="F48" i="2"/>
  <c r="G48" i="2" s="1"/>
  <c r="B48" i="2"/>
  <c r="L47" i="2"/>
  <c r="K47" i="2"/>
  <c r="F47" i="2"/>
  <c r="G47" i="2" s="1"/>
  <c r="B47" i="2"/>
  <c r="L46" i="2"/>
  <c r="K46" i="2"/>
  <c r="F46" i="2"/>
  <c r="G46" i="2" s="1"/>
  <c r="B46" i="2"/>
  <c r="L45" i="2"/>
  <c r="K45" i="2"/>
  <c r="F45" i="2"/>
  <c r="G45" i="2" s="1"/>
  <c r="B45" i="2"/>
  <c r="L44" i="2"/>
  <c r="K44" i="2"/>
  <c r="F44" i="2"/>
  <c r="G44" i="2" s="1"/>
  <c r="B44" i="2"/>
  <c r="L43" i="2"/>
  <c r="K43" i="2"/>
  <c r="F43" i="2"/>
  <c r="G43" i="2" s="1"/>
  <c r="B43" i="2"/>
  <c r="L42" i="2"/>
  <c r="K42" i="2"/>
  <c r="F42" i="2"/>
  <c r="G42" i="2" s="1"/>
  <c r="B42" i="2"/>
  <c r="L41" i="2"/>
  <c r="K41" i="2"/>
  <c r="F41" i="2"/>
  <c r="G41" i="2" s="1"/>
  <c r="B41" i="2"/>
  <c r="L40" i="2"/>
  <c r="K40" i="2"/>
  <c r="F40" i="2"/>
  <c r="G40" i="2" s="1"/>
  <c r="B40" i="2"/>
  <c r="L39" i="2"/>
  <c r="K39" i="2"/>
  <c r="F39" i="2"/>
  <c r="G39" i="2" s="1"/>
  <c r="B39" i="2"/>
  <c r="L38" i="2"/>
  <c r="K38" i="2"/>
  <c r="F38" i="2"/>
  <c r="G38" i="2" s="1"/>
  <c r="B38" i="2"/>
  <c r="L37" i="2"/>
  <c r="K37" i="2"/>
  <c r="F37" i="2"/>
  <c r="G37" i="2" s="1"/>
  <c r="B37" i="2"/>
  <c r="L36" i="2"/>
  <c r="K36" i="2"/>
  <c r="F36" i="2"/>
  <c r="G36" i="2" s="1"/>
  <c r="B36" i="2"/>
  <c r="L35" i="2"/>
  <c r="K35" i="2"/>
  <c r="F35" i="2"/>
  <c r="G35" i="2" s="1"/>
  <c r="B35" i="2"/>
  <c r="L34" i="2"/>
  <c r="K34" i="2"/>
  <c r="F34" i="2"/>
  <c r="G34" i="2" s="1"/>
  <c r="B34" i="2"/>
  <c r="L33" i="2"/>
  <c r="K33" i="2"/>
  <c r="F33" i="2"/>
  <c r="G33" i="2" s="1"/>
  <c r="B33" i="2"/>
  <c r="L32" i="2"/>
  <c r="K32" i="2"/>
  <c r="F32" i="2"/>
  <c r="G32" i="2" s="1"/>
  <c r="B32" i="2"/>
  <c r="L31" i="2"/>
  <c r="K31" i="2"/>
  <c r="F31" i="2"/>
  <c r="G31" i="2" s="1"/>
  <c r="B31" i="2"/>
  <c r="L30" i="2"/>
  <c r="K30" i="2"/>
  <c r="F30" i="2"/>
  <c r="G30" i="2" s="1"/>
  <c r="B30" i="2"/>
  <c r="L29" i="2"/>
  <c r="K29" i="2"/>
  <c r="F29" i="2"/>
  <c r="G29" i="2" s="1"/>
  <c r="B29" i="2"/>
  <c r="L28" i="2"/>
  <c r="K28" i="2"/>
  <c r="F28" i="2"/>
  <c r="G28" i="2" s="1"/>
  <c r="B28" i="2"/>
  <c r="L27" i="2"/>
  <c r="K27" i="2"/>
  <c r="F27" i="2"/>
  <c r="G27" i="2" s="1"/>
  <c r="B27" i="2"/>
  <c r="L26" i="2"/>
  <c r="K26" i="2"/>
  <c r="F26" i="2"/>
  <c r="G26" i="2" s="1"/>
  <c r="B26" i="2"/>
  <c r="L25" i="2"/>
  <c r="K25" i="2"/>
  <c r="F25" i="2"/>
  <c r="G25" i="2" s="1"/>
  <c r="B25" i="2"/>
  <c r="L24" i="2"/>
  <c r="K24" i="2"/>
  <c r="F24" i="2"/>
  <c r="G24" i="2" s="1"/>
  <c r="B24" i="2"/>
  <c r="L23" i="2"/>
  <c r="K23" i="2"/>
  <c r="F23" i="2"/>
  <c r="G23" i="2" s="1"/>
  <c r="B23" i="2"/>
  <c r="L22" i="2"/>
  <c r="K22" i="2"/>
  <c r="F22" i="2"/>
  <c r="G22" i="2" s="1"/>
  <c r="B22" i="2"/>
  <c r="L21" i="2"/>
  <c r="K21" i="2"/>
  <c r="F21" i="2"/>
  <c r="G21" i="2" s="1"/>
  <c r="B21" i="2"/>
  <c r="L20" i="2"/>
  <c r="K20" i="2"/>
  <c r="F20" i="2"/>
  <c r="G20" i="2" s="1"/>
  <c r="B20" i="2"/>
  <c r="L19" i="2"/>
  <c r="K19" i="2"/>
  <c r="F19" i="2"/>
  <c r="G19" i="2" s="1"/>
  <c r="B19" i="2"/>
  <c r="L18" i="2"/>
  <c r="K18" i="2"/>
  <c r="F18" i="2"/>
  <c r="G18" i="2" s="1"/>
  <c r="B18" i="2"/>
  <c r="L17" i="2"/>
  <c r="K17" i="2"/>
  <c r="F17" i="2"/>
  <c r="G17" i="2" s="1"/>
  <c r="B17" i="2"/>
  <c r="L16" i="2"/>
  <c r="K16" i="2"/>
  <c r="F16" i="2"/>
  <c r="G16" i="2" s="1"/>
  <c r="B16" i="2"/>
  <c r="L15" i="2"/>
  <c r="K15" i="2"/>
  <c r="F15" i="2"/>
  <c r="G15" i="2" s="1"/>
  <c r="B15" i="2"/>
  <c r="L14" i="2"/>
  <c r="K14" i="2"/>
  <c r="F14" i="2"/>
  <c r="G14" i="2" s="1"/>
  <c r="B14" i="2"/>
  <c r="L13" i="2"/>
  <c r="K13" i="2"/>
  <c r="F13" i="2"/>
  <c r="G13" i="2" s="1"/>
  <c r="B13" i="2"/>
  <c r="L12" i="2"/>
  <c r="K12" i="2"/>
  <c r="F12" i="2"/>
  <c r="G12" i="2" s="1"/>
  <c r="B12" i="2"/>
  <c r="L11" i="2"/>
  <c r="K11" i="2"/>
  <c r="F11" i="2"/>
  <c r="G11" i="2" s="1"/>
  <c r="B11" i="2"/>
  <c r="L10" i="2"/>
  <c r="K10" i="2"/>
  <c r="F10" i="2"/>
  <c r="G10" i="2" s="1"/>
  <c r="B10" i="2"/>
  <c r="L9" i="2"/>
  <c r="K9" i="2"/>
  <c r="F9" i="2"/>
  <c r="G9" i="2" s="1"/>
  <c r="B9" i="2"/>
  <c r="L8" i="2"/>
  <c r="K8" i="2"/>
  <c r="F8" i="2"/>
  <c r="G8" i="2" s="1"/>
  <c r="B8" i="2"/>
  <c r="L7" i="2"/>
  <c r="K7" i="2"/>
  <c r="F7" i="2"/>
  <c r="G7" i="2" s="1"/>
  <c r="B7" i="2"/>
  <c r="L6" i="2"/>
  <c r="K6" i="2"/>
  <c r="F6" i="2"/>
  <c r="G6" i="2" s="1"/>
  <c r="B6" i="2"/>
  <c r="L5" i="2"/>
  <c r="K5" i="2"/>
  <c r="F5" i="2"/>
  <c r="G5" i="2" s="1"/>
  <c r="B5" i="2"/>
  <c r="L4" i="2"/>
  <c r="K4" i="2"/>
  <c r="F4" i="2"/>
  <c r="G4" i="2" s="1"/>
  <c r="B4" i="2"/>
  <c r="L3" i="2"/>
  <c r="K3" i="2"/>
  <c r="F3" i="2"/>
  <c r="G3" i="2" s="1"/>
  <c r="B3" i="2"/>
  <c r="L2" i="2"/>
  <c r="K2" i="2"/>
  <c r="F2" i="2"/>
  <c r="G2" i="2" s="1"/>
  <c r="B2" i="2"/>
  <c r="E19" i="1"/>
  <c r="A19" i="1"/>
  <c r="D6" i="1" l="1"/>
  <c r="G19" i="1"/>
  <c r="B6" i="1"/>
  <c r="A6" i="1"/>
  <c r="B19" i="1"/>
  <c r="D19" i="1"/>
  <c r="C19" i="1"/>
</calcChain>
</file>

<file path=xl/sharedStrings.xml><?xml version="1.0" encoding="utf-8"?>
<sst xmlns="http://schemas.openxmlformats.org/spreadsheetml/2006/main" count="118" uniqueCount="73">
  <si>
    <t>Date</t>
  </si>
  <si>
    <t>Total Rainfall</t>
  </si>
  <si>
    <t>Year</t>
  </si>
  <si>
    <t>Month</t>
  </si>
  <si>
    <t>Day</t>
  </si>
  <si>
    <t>Station Number</t>
  </si>
  <si>
    <t>Location</t>
  </si>
  <si>
    <t xml:space="preserve">Melbourne (Olympic Park) </t>
  </si>
  <si>
    <t xml:space="preserve">Adelaide Airport </t>
  </si>
  <si>
    <t>Month Name</t>
  </si>
  <si>
    <t>Station Name</t>
  </si>
  <si>
    <t>Grand Total</t>
  </si>
  <si>
    <t xml:space="preserve">AvgTemp Range </t>
  </si>
  <si>
    <t>Rainfall (mms)</t>
  </si>
  <si>
    <t>Selected Date</t>
  </si>
  <si>
    <t>Daily Details</t>
  </si>
  <si>
    <t>Rainfall</t>
  </si>
  <si>
    <t>Month Details</t>
  </si>
  <si>
    <t>Highest</t>
  </si>
  <si>
    <t>Max Temp (° C)</t>
  </si>
  <si>
    <t>Min Temp(° C)</t>
  </si>
  <si>
    <t>Average</t>
  </si>
  <si>
    <t>Max Temp</t>
  </si>
  <si>
    <t>Min Temp</t>
  </si>
  <si>
    <t xml:space="preserve">Lowest </t>
  </si>
  <si>
    <t>Weather Condition</t>
  </si>
  <si>
    <t>Sum of Rainfall (mms)2</t>
  </si>
  <si>
    <t xml:space="preserve">Max Temp Range </t>
  </si>
  <si>
    <t>Temp Fluctuation</t>
  </si>
  <si>
    <t>Station</t>
  </si>
  <si>
    <t xml:space="preserve">Weather Charts </t>
  </si>
  <si>
    <t xml:space="preserve">Temp Range </t>
  </si>
  <si>
    <t>Monthly Heatwaves</t>
  </si>
  <si>
    <t>Row Labels</t>
  </si>
  <si>
    <t>Weather Type</t>
  </si>
  <si>
    <t>Adelaide</t>
  </si>
  <si>
    <t>Melbourne</t>
  </si>
  <si>
    <t>Avg Max Temp</t>
  </si>
  <si>
    <t>Avg Min Temp</t>
  </si>
  <si>
    <t>Rainfall Avg</t>
  </si>
  <si>
    <t>Max of Rainfall</t>
  </si>
  <si>
    <t>Weather Summary by Station for the Year</t>
  </si>
  <si>
    <t>February</t>
  </si>
  <si>
    <t>1-Feb</t>
  </si>
  <si>
    <t>Feb</t>
  </si>
  <si>
    <t>2-Feb</t>
  </si>
  <si>
    <t>3-Feb</t>
  </si>
  <si>
    <t>4-Feb</t>
  </si>
  <si>
    <t>5-Feb</t>
  </si>
  <si>
    <t>6-Feb</t>
  </si>
  <si>
    <t>7-Feb</t>
  </si>
  <si>
    <t>8-Feb</t>
  </si>
  <si>
    <t>9-Feb</t>
  </si>
  <si>
    <t>10-Feb</t>
  </si>
  <si>
    <t>11-Feb</t>
  </si>
  <si>
    <t>12-Feb</t>
  </si>
  <si>
    <t>13-Feb</t>
  </si>
  <si>
    <t>14-Feb</t>
  </si>
  <si>
    <t>15-Feb</t>
  </si>
  <si>
    <t>16-Feb</t>
  </si>
  <si>
    <t>17-Feb</t>
  </si>
  <si>
    <t>18-Feb</t>
  </si>
  <si>
    <t>19-Feb</t>
  </si>
  <si>
    <t>20-Feb</t>
  </si>
  <si>
    <t>21-Feb</t>
  </si>
  <si>
    <t>22-Feb</t>
  </si>
  <si>
    <t>23-Feb</t>
  </si>
  <si>
    <t>24-Feb</t>
  </si>
  <si>
    <t>25-Feb</t>
  </si>
  <si>
    <t>26-Feb</t>
  </si>
  <si>
    <t>27-Feb</t>
  </si>
  <si>
    <t>28-Feb</t>
  </si>
  <si>
    <t>29-Feb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</si>
</sst>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2" x14ac:knownFonts="1">
    <font>
      <sz val="14"/>
      <color theme="1"/>
      <name val="Calibri"/>
      <scheme val="minor"/>
    </font>
    <font>
      <sz val="14"/>
      <color theme="1"/>
      <name val="Calibri"/>
      <family val="2"/>
    </font>
    <font>
      <sz val="14"/>
      <color theme="1"/>
      <name val="Calibri"/>
      <family val="2"/>
      <scheme val="minor"/>
    </font>
    <font>
      <sz val="14"/>
      <color theme="1"/>
      <name val="Calibri"/>
      <family val="2"/>
      <scheme val="minor"/>
    </font>
    <font>
      <sz val="14"/>
      <color theme="1"/>
      <name val="Calibri"/>
      <family val="2"/>
    </font>
    <font>
      <b/>
      <sz val="14"/>
      <color theme="1"/>
      <name val="Calibri"/>
      <family val="2"/>
    </font>
    <font>
      <sz val="11"/>
      <color rgb="FF006100"/>
      <name val="Calibri"/>
      <family val="2"/>
      <scheme val="minor"/>
    </font>
    <font>
      <b/>
      <sz val="14"/>
      <color theme="1"/>
      <name val="Calibri"/>
      <family val="2"/>
      <scheme val="minor"/>
    </font>
    <font>
      <b/>
      <sz val="14"/>
      <name val="Calibri"/>
      <family val="2"/>
    </font>
    <font>
      <sz val="14"/>
      <name val="Calibri"/>
      <family val="2"/>
      <scheme val="minor"/>
    </font>
    <font>
      <sz val="14"/>
      <name val="Calibri"/>
      <family val="2"/>
    </font>
    <font>
      <b/>
      <sz val="14"/>
      <name val="Calibri"/>
      <family val="2"/>
      <scheme val="minor"/>
    </font>
  </fonts>
  <fills count="15">
    <fill>
      <patternFill patternType="none"/>
    </fill>
    <fill>
      <patternFill patternType="gray125"/>
    </fill>
    <fill>
      <patternFill patternType="solid">
        <fgColor rgb="FFC6EFCE"/>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2" tint="-4.9989318521683403E-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bgColor rgb="FFFFE598"/>
      </patternFill>
    </fill>
    <fill>
      <patternFill patternType="solid">
        <fgColor theme="7" tint="0.79998168889431442"/>
        <bgColor rgb="FFFFE598"/>
      </patternFill>
    </fill>
    <fill>
      <patternFill patternType="solid">
        <fgColor theme="8" tint="0.79998168889431442"/>
        <bgColor indexed="64"/>
      </patternFill>
    </fill>
    <fill>
      <patternFill patternType="solid">
        <fgColor rgb="FFE99BA8"/>
        <bgColor indexed="64"/>
      </patternFill>
    </fill>
    <fill>
      <patternFill patternType="solid">
        <fgColor theme="5" tint="0.79998168889431442"/>
        <bgColor rgb="FFFFFF00"/>
      </patternFill>
    </fill>
    <fill>
      <patternFill patternType="solid">
        <fgColor rgb="FFEBA3AF"/>
        <bgColor indexed="64"/>
      </patternFill>
    </fill>
  </fills>
  <borders count="10">
    <border>
      <left/>
      <right/>
      <top/>
      <bottom/>
      <diagonal/>
    </border>
    <border>
      <left/>
      <right/>
      <top/>
      <bottom/>
      <diagonal/>
    </border>
    <border>
      <left/>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6" fillId="2" borderId="0" applyNumberFormat="0" applyBorder="0" applyAlignment="0" applyProtection="0"/>
  </cellStyleXfs>
  <cellXfs count="94">
    <xf numFmtId="0" fontId="0" fillId="0" borderId="0" xfId="0"/>
    <xf numFmtId="0" fontId="2" fillId="0" borderId="0" xfId="0" applyFont="1"/>
    <xf numFmtId="14" fontId="2" fillId="0" borderId="0" xfId="0" applyNumberFormat="1" applyFont="1"/>
    <xf numFmtId="14" fontId="0" fillId="0" borderId="0" xfId="0" applyNumberFormat="1"/>
    <xf numFmtId="0" fontId="3" fillId="0" borderId="0" xfId="0" applyFont="1"/>
    <xf numFmtId="14" fontId="2" fillId="0" borderId="0" xfId="0" applyNumberFormat="1" applyFont="1" applyAlignment="1">
      <alignment readingOrder="2"/>
    </xf>
    <xf numFmtId="164" fontId="3" fillId="0" borderId="0" xfId="0" applyNumberFormat="1" applyFont="1"/>
    <xf numFmtId="164"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1" xfId="0" applyBorder="1"/>
    <xf numFmtId="0" fontId="1" fillId="0" borderId="1" xfId="0" applyFont="1" applyBorder="1"/>
    <xf numFmtId="0" fontId="0" fillId="0" borderId="6" xfId="0" applyBorder="1"/>
    <xf numFmtId="164" fontId="2" fillId="0" borderId="0" xfId="0" applyNumberFormat="1" applyFont="1"/>
    <xf numFmtId="0" fontId="0" fillId="5" borderId="5" xfId="0" applyFill="1" applyBorder="1"/>
    <xf numFmtId="0" fontId="0" fillId="5" borderId="2" xfId="0" applyFill="1" applyBorder="1"/>
    <xf numFmtId="0" fontId="0" fillId="5" borderId="6" xfId="0" applyFill="1" applyBorder="1"/>
    <xf numFmtId="0" fontId="8" fillId="7" borderId="3" xfId="0" applyFont="1" applyFill="1" applyBorder="1" applyAlignment="1">
      <alignment horizontal="left" indent="28"/>
    </xf>
    <xf numFmtId="0" fontId="8" fillId="7" borderId="1" xfId="0" applyFont="1" applyFill="1" applyBorder="1" applyAlignment="1">
      <alignment horizontal="left" indent="28"/>
    </xf>
    <xf numFmtId="0" fontId="8" fillId="7" borderId="1" xfId="0" applyFont="1" applyFill="1" applyBorder="1" applyAlignment="1">
      <alignment horizontal="left" indent="2"/>
    </xf>
    <xf numFmtId="0" fontId="8" fillId="7" borderId="1" xfId="0" applyFont="1" applyFill="1" applyBorder="1" applyAlignment="1">
      <alignment horizontal="center"/>
    </xf>
    <xf numFmtId="0" fontId="8" fillId="7" borderId="1" xfId="0" applyFont="1" applyFill="1" applyBorder="1" applyAlignment="1">
      <alignment horizontal="left" vertical="center" indent="28"/>
    </xf>
    <xf numFmtId="0" fontId="10" fillId="7" borderId="3" xfId="0" applyFont="1" applyFill="1" applyBorder="1"/>
    <xf numFmtId="0" fontId="10" fillId="7" borderId="1" xfId="0" applyFont="1" applyFill="1" applyBorder="1"/>
    <xf numFmtId="0" fontId="9" fillId="7" borderId="1" xfId="0" applyFont="1" applyFill="1" applyBorder="1"/>
    <xf numFmtId="0" fontId="10" fillId="7" borderId="1" xfId="0" applyFont="1" applyFill="1" applyBorder="1" applyAlignment="1">
      <alignment wrapText="1"/>
    </xf>
    <xf numFmtId="0" fontId="5" fillId="3" borderId="1" xfId="0" applyFont="1" applyFill="1" applyBorder="1" applyAlignment="1">
      <alignment horizontal="left" indent="3"/>
    </xf>
    <xf numFmtId="0" fontId="5" fillId="3" borderId="4" xfId="0" applyFont="1" applyFill="1" applyBorder="1" applyAlignment="1">
      <alignment horizontal="left" indent="28"/>
    </xf>
    <xf numFmtId="0" fontId="5" fillId="3" borderId="1" xfId="0" applyFont="1" applyFill="1" applyBorder="1" applyAlignment="1">
      <alignment horizontal="left" indent="28"/>
    </xf>
    <xf numFmtId="0" fontId="0" fillId="3" borderId="1" xfId="0" applyFill="1" applyBorder="1"/>
    <xf numFmtId="0" fontId="0" fillId="3" borderId="4" xfId="0" applyFill="1" applyBorder="1"/>
    <xf numFmtId="0" fontId="5" fillId="3" borderId="1" xfId="0" applyFont="1" applyFill="1" applyBorder="1"/>
    <xf numFmtId="0" fontId="1" fillId="3" borderId="1" xfId="0" applyFont="1" applyFill="1" applyBorder="1"/>
    <xf numFmtId="0" fontId="1" fillId="3" borderId="1" xfId="0" applyFont="1" applyFill="1" applyBorder="1" applyAlignment="1">
      <alignment wrapText="1"/>
    </xf>
    <xf numFmtId="164" fontId="1" fillId="3" borderId="1" xfId="0" applyNumberFormat="1" applyFont="1" applyFill="1" applyBorder="1"/>
    <xf numFmtId="0" fontId="7" fillId="8" borderId="1" xfId="0" applyFont="1" applyFill="1" applyBorder="1"/>
    <xf numFmtId="0" fontId="0" fillId="8" borderId="1" xfId="0" applyFill="1" applyBorder="1"/>
    <xf numFmtId="0" fontId="1" fillId="9" borderId="1" xfId="0" applyFont="1" applyFill="1" applyBorder="1" applyAlignment="1"/>
    <xf numFmtId="0" fontId="9" fillId="8" borderId="0" xfId="0" applyFont="1" applyFill="1"/>
    <xf numFmtId="0" fontId="10" fillId="10" borderId="1" xfId="0" applyFont="1" applyFill="1" applyBorder="1" applyAlignment="1"/>
    <xf numFmtId="0" fontId="9" fillId="8" borderId="0" xfId="0" applyFont="1" applyFill="1" applyAlignment="1">
      <alignment horizontal="left" indent="4"/>
    </xf>
    <xf numFmtId="0" fontId="0" fillId="5" borderId="1" xfId="0" applyFill="1" applyBorder="1"/>
    <xf numFmtId="0" fontId="0" fillId="5" borderId="4" xfId="0" applyFill="1" applyBorder="1"/>
    <xf numFmtId="0" fontId="4" fillId="5" borderId="3" xfId="0" applyFont="1" applyFill="1" applyBorder="1"/>
    <xf numFmtId="0" fontId="1" fillId="5" borderId="1" xfId="0" applyFont="1" applyFill="1" applyBorder="1"/>
    <xf numFmtId="0" fontId="1" fillId="5" borderId="5" xfId="0" applyFont="1" applyFill="1" applyBorder="1"/>
    <xf numFmtId="0" fontId="1" fillId="5" borderId="2" xfId="0" applyFont="1" applyFill="1" applyBorder="1"/>
    <xf numFmtId="164" fontId="0" fillId="8" borderId="1" xfId="0" applyNumberFormat="1" applyFill="1" applyBorder="1"/>
    <xf numFmtId="164" fontId="0" fillId="0" borderId="0" xfId="0" applyNumberFormat="1" applyAlignment="1">
      <alignment horizontal="left"/>
    </xf>
    <xf numFmtId="0" fontId="7" fillId="11" borderId="1" xfId="0" applyFont="1" applyFill="1" applyBorder="1"/>
    <xf numFmtId="0" fontId="0" fillId="11" borderId="1" xfId="0" applyFill="1" applyBorder="1"/>
    <xf numFmtId="0" fontId="7" fillId="12" borderId="3" xfId="0" applyFont="1" applyFill="1" applyBorder="1"/>
    <xf numFmtId="0" fontId="1" fillId="12" borderId="1" xfId="0" applyFont="1" applyFill="1" applyBorder="1"/>
    <xf numFmtId="0" fontId="1" fillId="12" borderId="3" xfId="0" applyFont="1" applyFill="1" applyBorder="1"/>
    <xf numFmtId="164" fontId="1" fillId="12" borderId="3" xfId="0" applyNumberFormat="1" applyFont="1" applyFill="1" applyBorder="1"/>
    <xf numFmtId="164" fontId="1" fillId="12" borderId="1" xfId="0" applyNumberFormat="1" applyFont="1" applyFill="1" applyBorder="1"/>
    <xf numFmtId="0" fontId="5" fillId="6" borderId="3" xfId="0" applyFont="1" applyFill="1" applyBorder="1"/>
    <xf numFmtId="0" fontId="1" fillId="6" borderId="1" xfId="0" applyFont="1" applyFill="1" applyBorder="1"/>
    <xf numFmtId="0" fontId="0" fillId="6" borderId="4" xfId="0" applyFill="1" applyBorder="1"/>
    <xf numFmtId="0" fontId="0" fillId="6" borderId="3" xfId="0" applyFill="1" applyBorder="1"/>
    <xf numFmtId="0" fontId="0" fillId="6" borderId="1" xfId="0" applyFill="1" applyBorder="1"/>
    <xf numFmtId="0" fontId="1" fillId="6" borderId="1" xfId="0" applyFont="1" applyFill="1" applyBorder="1" applyAlignment="1">
      <alignment wrapText="1"/>
    </xf>
    <xf numFmtId="0" fontId="5" fillId="6" borderId="3" xfId="0" applyFont="1" applyFill="1" applyBorder="1" applyAlignment="1">
      <alignment wrapText="1"/>
    </xf>
    <xf numFmtId="0" fontId="5" fillId="6" borderId="1" xfId="0" applyFont="1" applyFill="1" applyBorder="1" applyAlignment="1">
      <alignment wrapText="1"/>
    </xf>
    <xf numFmtId="164" fontId="1" fillId="6" borderId="3" xfId="0" applyNumberFormat="1" applyFont="1" applyFill="1" applyBorder="1"/>
    <xf numFmtId="164" fontId="1" fillId="6" borderId="1" xfId="0" applyNumberFormat="1" applyFont="1" applyFill="1" applyBorder="1"/>
    <xf numFmtId="15" fontId="1" fillId="13" borderId="1" xfId="0" applyNumberFormat="1" applyFont="1" applyFill="1" applyBorder="1"/>
    <xf numFmtId="0" fontId="7" fillId="6" borderId="4" xfId="0" applyFont="1" applyFill="1" applyBorder="1"/>
    <xf numFmtId="0" fontId="6" fillId="5" borderId="5" xfId="1" applyFont="1" applyFill="1" applyBorder="1"/>
    <xf numFmtId="0" fontId="6" fillId="5" borderId="2" xfId="1" applyFont="1" applyFill="1" applyBorder="1"/>
    <xf numFmtId="0" fontId="2" fillId="0" borderId="6" xfId="0" applyFont="1" applyBorder="1"/>
    <xf numFmtId="0" fontId="6" fillId="4" borderId="7" xfId="1" applyFont="1" applyFill="1" applyBorder="1"/>
    <xf numFmtId="0" fontId="6" fillId="4" borderId="8" xfId="1" applyFont="1" applyFill="1" applyBorder="1"/>
    <xf numFmtId="0" fontId="2" fillId="4" borderId="9" xfId="0" applyFont="1" applyFill="1" applyBorder="1"/>
    <xf numFmtId="0" fontId="7" fillId="14" borderId="4" xfId="0" applyFont="1" applyFill="1" applyBorder="1"/>
    <xf numFmtId="0" fontId="0" fillId="14" borderId="4" xfId="0" applyFill="1" applyBorder="1"/>
    <xf numFmtId="0" fontId="7" fillId="0" borderId="7" xfId="0" applyFont="1" applyBorder="1"/>
    <xf numFmtId="0" fontId="7" fillId="0" borderId="8" xfId="0" applyFont="1" applyBorder="1"/>
    <xf numFmtId="0" fontId="7" fillId="0" borderId="9" xfId="0" applyFont="1" applyBorder="1"/>
    <xf numFmtId="0" fontId="2" fillId="0" borderId="3" xfId="0" applyFont="1" applyBorder="1"/>
    <xf numFmtId="0" fontId="2" fillId="0" borderId="1" xfId="0" applyFont="1" applyBorder="1"/>
    <xf numFmtId="164" fontId="0" fillId="0" borderId="1" xfId="0" applyNumberFormat="1" applyBorder="1"/>
    <xf numFmtId="164" fontId="0" fillId="0" borderId="4" xfId="0" applyNumberFormat="1" applyBorder="1"/>
    <xf numFmtId="0" fontId="2" fillId="0" borderId="5" xfId="0" applyFont="1" applyBorder="1"/>
    <xf numFmtId="164" fontId="0" fillId="0" borderId="2" xfId="0" applyNumberFormat="1" applyBorder="1"/>
    <xf numFmtId="164" fontId="0" fillId="0" borderId="6" xfId="0" applyNumberFormat="1" applyBorder="1"/>
    <xf numFmtId="0" fontId="11" fillId="4" borderId="8" xfId="1" applyFont="1" applyFill="1" applyBorder="1" applyAlignment="1">
      <alignment horizontal="left" indent="5"/>
    </xf>
    <xf numFmtId="0" fontId="5" fillId="6" borderId="7" xfId="0" applyFont="1" applyFill="1" applyBorder="1" applyAlignment="1">
      <alignment horizontal="left" indent="32"/>
    </xf>
    <xf numFmtId="0" fontId="5" fillId="6" borderId="8" xfId="0" applyFont="1" applyFill="1" applyBorder="1" applyAlignment="1">
      <alignment horizontal="left" indent="32"/>
    </xf>
    <xf numFmtId="0" fontId="5" fillId="6" borderId="9" xfId="0" applyFont="1" applyFill="1" applyBorder="1" applyAlignment="1">
      <alignment horizontal="left" indent="32"/>
    </xf>
    <xf numFmtId="0" fontId="7" fillId="0" borderId="0" xfId="0" applyFont="1"/>
  </cellXfs>
  <cellStyles count="2">
    <cellStyle name="Good" xfId="1" builtinId="26"/>
    <cellStyle name="Normal" xfId="0" builtinId="0"/>
  </cellStyles>
  <dxfs count="74">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font>
        <b val="0"/>
        <i val="0"/>
        <strike val="0"/>
        <condense val="0"/>
        <extend val="0"/>
        <outline val="0"/>
        <shadow val="0"/>
        <u val="none"/>
        <vertAlign val="baseline"/>
        <sz val="14"/>
        <color theme="1"/>
        <name val="Calibri"/>
        <scheme val="minor"/>
      </font>
      <numFmt numFmtId="0" formatCode="General"/>
    </dxf>
    <dxf>
      <font>
        <b val="0"/>
        <i val="0"/>
        <strike val="0"/>
        <condense val="0"/>
        <extend val="0"/>
        <outline val="0"/>
        <shadow val="0"/>
        <u val="none"/>
        <vertAlign val="baseline"/>
        <sz val="14"/>
        <color theme="1"/>
        <name val="Calibri"/>
        <scheme val="minor"/>
      </font>
      <numFmt numFmtId="164" formatCode="0.0"/>
    </dxf>
    <dxf>
      <font>
        <b val="0"/>
        <i val="0"/>
        <strike val="0"/>
        <condense val="0"/>
        <extend val="0"/>
        <outline val="0"/>
        <shadow val="0"/>
        <u val="none"/>
        <vertAlign val="baseline"/>
        <sz val="14"/>
        <color theme="1"/>
        <name val="Calibri"/>
        <scheme val="minor"/>
      </font>
      <numFmt numFmtId="164" formatCode="0.0"/>
    </dxf>
    <dxf>
      <font>
        <b val="0"/>
        <i val="0"/>
        <strike val="0"/>
        <condense val="0"/>
        <extend val="0"/>
        <outline val="0"/>
        <shadow val="0"/>
        <u val="none"/>
        <vertAlign val="baseline"/>
        <sz val="14"/>
        <color theme="1"/>
        <name val="Calibri"/>
        <scheme val="minor"/>
      </font>
      <numFmt numFmtId="164" formatCode="0.0"/>
    </dxf>
    <dxf>
      <font>
        <b val="0"/>
        <i val="0"/>
        <strike val="0"/>
        <condense val="0"/>
        <extend val="0"/>
        <outline val="0"/>
        <shadow val="0"/>
        <u val="none"/>
        <vertAlign val="baseline"/>
        <sz val="14"/>
        <color theme="1"/>
        <name val="Calibri"/>
        <scheme val="minor"/>
      </font>
      <numFmt numFmtId="164" formatCode="0.0"/>
    </dxf>
    <dxf>
      <font>
        <b val="0"/>
        <i val="0"/>
        <strike val="0"/>
        <condense val="0"/>
        <extend val="0"/>
        <outline val="0"/>
        <shadow val="0"/>
        <u val="none"/>
        <vertAlign val="baseline"/>
        <sz val="14"/>
        <color theme="1"/>
        <name val="Calibri"/>
        <scheme val="minor"/>
      </font>
      <numFmt numFmtId="19" formatCode="d/mm/yyyy"/>
    </dxf>
    <dxf>
      <font>
        <b val="0"/>
        <i val="0"/>
        <strike val="0"/>
        <condense val="0"/>
        <extend val="0"/>
        <outline val="0"/>
        <shadow val="0"/>
        <u val="none"/>
        <vertAlign val="baseline"/>
        <sz val="14"/>
        <color theme="1"/>
        <name val="Calibri"/>
        <scheme val="minor"/>
      </font>
      <numFmt numFmtId="19" formatCode="d/mm/yyyy"/>
    </dxf>
    <dxf>
      <font>
        <b val="0"/>
        <i val="0"/>
        <strike val="0"/>
        <condense val="0"/>
        <extend val="0"/>
        <outline val="0"/>
        <shadow val="0"/>
        <u val="none"/>
        <vertAlign val="baseline"/>
        <sz val="14"/>
        <color theme="1"/>
        <name val="Calibri"/>
        <scheme val="minor"/>
      </font>
    </dxf>
    <dxf>
      <font>
        <b val="0"/>
        <i val="0"/>
        <strike val="0"/>
        <condense val="0"/>
        <extend val="0"/>
        <outline val="0"/>
        <shadow val="0"/>
        <u val="none"/>
        <vertAlign val="baseline"/>
        <sz val="14"/>
        <color theme="1"/>
        <name val="Calibri"/>
        <scheme val="minor"/>
      </font>
    </dxf>
    <dxf>
      <font>
        <b val="0"/>
        <i val="0"/>
        <strike val="0"/>
        <condense val="0"/>
        <extend val="0"/>
        <outline val="0"/>
        <shadow val="0"/>
        <u val="none"/>
        <vertAlign val="baseline"/>
        <sz val="14"/>
        <color theme="1"/>
        <name val="Calibri"/>
        <scheme val="minor"/>
      </font>
    </dxf>
    <dxf>
      <font>
        <b val="0"/>
        <i val="0"/>
        <strike val="0"/>
        <condense val="0"/>
        <extend val="0"/>
        <outline val="0"/>
        <shadow val="0"/>
        <u val="none"/>
        <vertAlign val="baseline"/>
        <sz val="14"/>
        <color theme="1"/>
        <name val="Calibri"/>
        <family val="2"/>
        <scheme val="minor"/>
      </font>
      <numFmt numFmtId="0" formatCode="General"/>
    </dxf>
    <dxf>
      <font>
        <b val="0"/>
        <i val="0"/>
        <strike val="0"/>
        <condense val="0"/>
        <extend val="0"/>
        <outline val="0"/>
        <shadow val="0"/>
        <u val="none"/>
        <vertAlign val="baseline"/>
        <sz val="14"/>
        <color theme="1"/>
        <name val="Calibri"/>
        <scheme val="minor"/>
      </font>
    </dxf>
    <dxf>
      <font>
        <b val="0"/>
        <i val="0"/>
        <strike val="0"/>
        <condense val="0"/>
        <extend val="0"/>
        <outline val="0"/>
        <shadow val="0"/>
        <u val="none"/>
        <vertAlign val="baseline"/>
        <sz val="14"/>
        <color theme="1"/>
        <name val="Calibri"/>
        <scheme val="minor"/>
      </font>
    </dxf>
    <dxf>
      <font>
        <b val="0"/>
        <i val="0"/>
        <strike val="0"/>
        <condense val="0"/>
        <extend val="0"/>
        <outline val="0"/>
        <shadow val="0"/>
        <u val="none"/>
        <vertAlign val="baseline"/>
        <sz val="14"/>
        <color theme="1"/>
        <name val="Calibri"/>
        <scheme val="minor"/>
      </font>
    </dxf>
    <dxf>
      <fill>
        <patternFill>
          <bgColor rgb="FFFF9933"/>
        </patternFill>
      </fill>
    </dxf>
    <dxf>
      <fill>
        <patternFill>
          <bgColor theme="9" tint="0.59996337778862885"/>
        </patternFill>
      </fill>
    </dxf>
    <dxf>
      <fill>
        <patternFill>
          <bgColor theme="8" tint="0.59996337778862885"/>
        </patternFill>
      </fill>
    </dxf>
    <dxf>
      <fill>
        <patternFill>
          <bgColor theme="8" tint="-0.24994659260841701"/>
        </patternFill>
      </fill>
    </dxf>
    <dxf>
      <fill>
        <patternFill>
          <bgColor rgb="FF00B0F0"/>
        </patternFill>
      </fill>
    </dxf>
    <dxf>
      <fill>
        <patternFill>
          <bgColor rgb="FF92D050"/>
        </patternFill>
      </fill>
    </dxf>
    <dxf>
      <fill>
        <patternFill>
          <bgColor theme="4" tint="0.59996337778862885"/>
        </patternFill>
      </fill>
    </dxf>
    <dxf>
      <fill>
        <patternFill>
          <bgColor theme="4" tint="-0.24994659260841701"/>
        </patternFill>
      </fill>
    </dxf>
    <dxf>
      <fill>
        <patternFill>
          <bgColor theme="8" tint="-0.499984740745262"/>
        </patternFill>
      </fill>
    </dxf>
    <dxf>
      <fill>
        <patternFill>
          <bgColor rgb="FFFF0000"/>
        </patternFill>
      </fill>
    </dxf>
    <dxf>
      <fill>
        <patternFill>
          <bgColor rgb="FFFF0000"/>
        </patternFill>
      </fill>
    </dxf>
    <dxf>
      <fill>
        <patternFill>
          <bgColor theme="8" tint="-0.24994659260841701"/>
        </patternFill>
      </fill>
    </dxf>
    <dxf>
      <fill>
        <patternFill>
          <bgColor rgb="FFFF0000"/>
        </patternFill>
      </fill>
    </dxf>
    <dxf>
      <fill>
        <patternFill>
          <bgColor rgb="FF0070C0"/>
        </patternFill>
      </fill>
    </dxf>
    <dxf>
      <fill>
        <patternFill>
          <bgColor rgb="FFC00000"/>
        </patternFill>
      </fill>
    </dxf>
    <dxf>
      <fill>
        <patternFill>
          <bgColor rgb="FFFF0000"/>
        </patternFill>
      </fill>
    </dxf>
    <dxf>
      <fill>
        <patternFill>
          <bgColor rgb="FFFF0000"/>
        </patternFill>
      </fill>
    </dxf>
    <dxf>
      <fill>
        <patternFill>
          <bgColor theme="5" tint="-0.24994659260841701"/>
        </patternFill>
      </fill>
    </dxf>
    <dxf>
      <fill>
        <patternFill>
          <bgColor theme="9" tint="-0.24994659260841701"/>
        </patternFill>
      </fill>
    </dxf>
    <dxf>
      <fill>
        <patternFill>
          <bgColor rgb="FF0070C0"/>
        </patternFill>
      </fill>
    </dxf>
    <dxf>
      <fill>
        <patternFill>
          <bgColor rgb="FFC00000"/>
        </patternFill>
      </fill>
    </dxf>
    <dxf>
      <fill>
        <patternFill>
          <bgColor rgb="FF0070C0"/>
        </patternFill>
      </fill>
    </dxf>
    <dxf>
      <fill>
        <patternFill>
          <bgColor theme="8" tint="0.39994506668294322"/>
        </patternFill>
      </fill>
    </dxf>
    <dxf>
      <fill>
        <patternFill>
          <bgColor rgb="FFFF0000"/>
        </patternFill>
      </fill>
    </dxf>
    <dxf>
      <fill>
        <patternFill>
          <bgColor rgb="FFFF0000"/>
        </patternFill>
      </fill>
    </dxf>
    <dxf>
      <font>
        <b/>
        <color theme="1"/>
      </font>
      <border>
        <bottom style="thin">
          <color theme="4"/>
        </bottom>
        <vertical/>
        <horizontal/>
      </border>
    </dxf>
    <dxf>
      <font>
        <b/>
        <i val="0"/>
        <sz val="11"/>
        <color theme="1"/>
        <name val="Calibri"/>
        <family val="2"/>
        <scheme val="minor"/>
      </font>
      <fill>
        <patternFill patternType="solid">
          <bgColor theme="2" tint="-4.9989318521683403E-2"/>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sz val="11"/>
        <color theme="1"/>
      </font>
      <fill>
        <patternFill patternType="solid">
          <bgColor theme="2" tint="-4.9989318521683403E-2"/>
        </patternFill>
      </fill>
      <border>
        <left style="thin">
          <color theme="4"/>
        </left>
        <right style="thin">
          <color theme="4"/>
        </right>
        <top style="thin">
          <color theme="4"/>
        </top>
        <bottom style="thin">
          <color theme="4"/>
        </bottom>
        <vertical/>
        <horizontal/>
      </border>
    </dxf>
    <dxf>
      <fill>
        <patternFill>
          <bgColor theme="6" tint="0.59996337778862885"/>
        </patternFill>
      </fill>
    </dxf>
  </dxfs>
  <tableStyles count="3" defaultTableStyle="TableStyleMedium2" defaultPivotStyle="PivotStyleLight16">
    <tableStyle name="Slicer Style 1" pivot="0" table="0" count="1" xr9:uid="{60C24EFC-C635-4330-BDD0-39EBAC5D8369}">
      <tableStyleElement type="wholeTable" dxfId="73"/>
    </tableStyle>
    <tableStyle name="SlicerStyleLight1 2" pivot="0" table="0" count="10" xr9:uid="{279F1A46-1879-41C3-AAEC-9F8F79967521}">
      <tableStyleElement type="wholeTable" dxfId="72"/>
      <tableStyleElement type="headerRow" dxfId="71"/>
    </tableStyle>
    <tableStyle name="SlicerStyleLight1 2 2" pivot="0" table="0" count="10" xr9:uid="{B7B6E505-2E13-4B64-B9E1-36A61D2B6319}">
      <tableStyleElement type="wholeTable" dxfId="70"/>
      <tableStyleElement type="headerRow" dxfId="69"/>
    </tableStyle>
  </tableStyles>
  <colors>
    <mruColors>
      <color rgb="FFEBA3AF"/>
      <color rgb="FFFF0066"/>
      <color rgb="FFE07284"/>
      <color rgb="FFE99BA8"/>
      <color rgb="FFD85067"/>
      <color rgb="FFFF9933"/>
      <color rgb="FFFFCC00"/>
      <color rgb="FFFFFF9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[Weather_Dashboard.xlsx]MonthDetails!MonthDetails</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53865419488156"/>
          <c:y val="0.14897272365883707"/>
          <c:w val="0.61563020655026812"/>
          <c:h val="0.60835845660402521"/>
        </c:manualLayout>
      </c:layout>
      <c:barChart>
        <c:barDir val="col"/>
        <c:grouping val="clustered"/>
        <c:varyColors val="0"/>
        <c:ser>
          <c:idx val="0"/>
          <c:order val="0"/>
          <c:tx>
            <c:strRef>
              <c:f>MonthDetails!$B$4</c:f>
              <c:strCache>
                <c:ptCount val="1"/>
                <c:pt idx="0">
                  <c:v>Max Temp</c:v>
                </c:pt>
              </c:strCache>
            </c:strRef>
          </c:tx>
          <c:spPr>
            <a:solidFill>
              <a:schemeClr val="accent1"/>
            </a:solidFill>
            <a:ln>
              <a:noFill/>
            </a:ln>
            <a:effectLst/>
          </c:spPr>
          <c:invertIfNegative val="0"/>
          <c:cat>
            <c:strRef>
              <c:f>MonthDetails!$A$5:$A$6</c:f>
              <c:strCache>
                <c:ptCount val="1"/>
                <c:pt idx="0">
                  <c:v>February</c:v>
                </c:pt>
              </c:strCache>
            </c:strRef>
          </c:cat>
          <c:val>
            <c:numRef>
              <c:f>MonthDetails!$B$5:$B$6</c:f>
              <c:numCache>
                <c:formatCode>General</c:formatCode>
                <c:ptCount val="1"/>
                <c:pt idx="0">
                  <c:v>33</c:v>
                </c:pt>
              </c:numCache>
            </c:numRef>
          </c:val>
          <c:extLst>
            <c:ext xmlns:c16="http://schemas.microsoft.com/office/drawing/2014/chart" uri="{C3380CC4-5D6E-409C-BE32-E72D297353CC}">
              <c16:uniqueId val="{00000012-109E-4452-A069-773A3899011C}"/>
            </c:ext>
          </c:extLst>
        </c:ser>
        <c:ser>
          <c:idx val="1"/>
          <c:order val="1"/>
          <c:tx>
            <c:strRef>
              <c:f>MonthDetails!$C$4</c:f>
              <c:strCache>
                <c:ptCount val="1"/>
                <c:pt idx="0">
                  <c:v>Min Temp</c:v>
                </c:pt>
              </c:strCache>
            </c:strRef>
          </c:tx>
          <c:spPr>
            <a:solidFill>
              <a:schemeClr val="accent2"/>
            </a:solidFill>
            <a:ln>
              <a:noFill/>
            </a:ln>
            <a:effectLst/>
          </c:spPr>
          <c:invertIfNegative val="0"/>
          <c:cat>
            <c:strRef>
              <c:f>MonthDetails!$A$5:$A$6</c:f>
              <c:strCache>
                <c:ptCount val="1"/>
                <c:pt idx="0">
                  <c:v>February</c:v>
                </c:pt>
              </c:strCache>
            </c:strRef>
          </c:cat>
          <c:val>
            <c:numRef>
              <c:f>MonthDetails!$C$5:$C$6</c:f>
              <c:numCache>
                <c:formatCode>General</c:formatCode>
                <c:ptCount val="1"/>
                <c:pt idx="0">
                  <c:v>12.2</c:v>
                </c:pt>
              </c:numCache>
            </c:numRef>
          </c:val>
          <c:extLst>
            <c:ext xmlns:c16="http://schemas.microsoft.com/office/drawing/2014/chart" uri="{C3380CC4-5D6E-409C-BE32-E72D297353CC}">
              <c16:uniqueId val="{00000009-060D-4C9B-9BAA-C46C0A1131AD}"/>
            </c:ext>
          </c:extLst>
        </c:ser>
        <c:ser>
          <c:idx val="2"/>
          <c:order val="2"/>
          <c:tx>
            <c:strRef>
              <c:f>MonthDetails!$D$4</c:f>
              <c:strCache>
                <c:ptCount val="1"/>
                <c:pt idx="0">
                  <c:v>Total Rainfall</c:v>
                </c:pt>
              </c:strCache>
            </c:strRef>
          </c:tx>
          <c:spPr>
            <a:solidFill>
              <a:schemeClr val="accent3"/>
            </a:solidFill>
            <a:ln>
              <a:noFill/>
            </a:ln>
            <a:effectLst/>
          </c:spPr>
          <c:invertIfNegative val="0"/>
          <c:cat>
            <c:strRef>
              <c:f>MonthDetails!$A$5:$A$6</c:f>
              <c:strCache>
                <c:ptCount val="1"/>
                <c:pt idx="0">
                  <c:v>February</c:v>
                </c:pt>
              </c:strCache>
            </c:strRef>
          </c:cat>
          <c:val>
            <c:numRef>
              <c:f>MonthDetails!$D$5:$D$6</c:f>
              <c:numCache>
                <c:formatCode>0.0</c:formatCode>
                <c:ptCount val="1"/>
                <c:pt idx="0">
                  <c:v>32.800000000000004</c:v>
                </c:pt>
              </c:numCache>
            </c:numRef>
          </c:val>
          <c:extLst>
            <c:ext xmlns:c16="http://schemas.microsoft.com/office/drawing/2014/chart" uri="{C3380CC4-5D6E-409C-BE32-E72D297353CC}">
              <c16:uniqueId val="{0000000A-060D-4C9B-9BAA-C46C0A1131AD}"/>
            </c:ext>
          </c:extLst>
        </c:ser>
        <c:ser>
          <c:idx val="3"/>
          <c:order val="3"/>
          <c:tx>
            <c:strRef>
              <c:f>MonthDetails!$E$4</c:f>
              <c:strCache>
                <c:ptCount val="1"/>
                <c:pt idx="0">
                  <c:v>Max Temp Range </c:v>
                </c:pt>
              </c:strCache>
            </c:strRef>
          </c:tx>
          <c:spPr>
            <a:solidFill>
              <a:schemeClr val="accent4"/>
            </a:solidFill>
            <a:ln>
              <a:noFill/>
            </a:ln>
            <a:effectLst/>
          </c:spPr>
          <c:invertIfNegative val="0"/>
          <c:cat>
            <c:strRef>
              <c:f>MonthDetails!$A$5:$A$6</c:f>
              <c:strCache>
                <c:ptCount val="1"/>
                <c:pt idx="0">
                  <c:v>February</c:v>
                </c:pt>
              </c:strCache>
            </c:strRef>
          </c:cat>
          <c:val>
            <c:numRef>
              <c:f>MonthDetails!$E$5:$E$6</c:f>
              <c:numCache>
                <c:formatCode>0.0</c:formatCode>
                <c:ptCount val="1"/>
                <c:pt idx="0">
                  <c:v>18</c:v>
                </c:pt>
              </c:numCache>
            </c:numRef>
          </c:val>
          <c:extLst>
            <c:ext xmlns:c16="http://schemas.microsoft.com/office/drawing/2014/chart" uri="{C3380CC4-5D6E-409C-BE32-E72D297353CC}">
              <c16:uniqueId val="{00000001-5928-4A3D-9EFD-303AE2BD82CE}"/>
            </c:ext>
          </c:extLst>
        </c:ser>
        <c:dLbls>
          <c:showLegendKey val="0"/>
          <c:showVal val="0"/>
          <c:showCatName val="0"/>
          <c:showSerName val="0"/>
          <c:showPercent val="0"/>
          <c:showBubbleSize val="0"/>
        </c:dLbls>
        <c:gapWidth val="219"/>
        <c:overlap val="-27"/>
        <c:axId val="1255626448"/>
        <c:axId val="1255622608"/>
      </c:barChart>
      <c:catAx>
        <c:axId val="1255626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Month</a:t>
                </a:r>
              </a:p>
            </c:rich>
          </c:tx>
          <c:layout>
            <c:manualLayout>
              <c:xMode val="edge"/>
              <c:yMode val="edge"/>
              <c:x val="0.55279972071342454"/>
              <c:y val="0.788688972674276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622608"/>
        <c:crosses val="autoZero"/>
        <c:auto val="1"/>
        <c:lblAlgn val="ctr"/>
        <c:lblOffset val="100"/>
        <c:noMultiLvlLbl val="0"/>
      </c:catAx>
      <c:valAx>
        <c:axId val="12556226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Temp</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5626448"/>
        <c:crosses val="autoZero"/>
        <c:crossBetween val="between"/>
      </c:valAx>
      <c:spPr>
        <a:noFill/>
        <a:ln>
          <a:noFill/>
        </a:ln>
        <a:effectLst/>
      </c:spPr>
    </c:plotArea>
    <c:legend>
      <c:legendPos val="r"/>
      <c:layout>
        <c:manualLayout>
          <c:xMode val="edge"/>
          <c:yMode val="edge"/>
          <c:x val="0.70977011494252873"/>
          <c:y val="0.26507418565195717"/>
          <c:w val="0.29022991673698301"/>
          <c:h val="0.514455942301661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[Weather_Dashboard.xlsx]Daily Summary!Daily Summary</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s>
    <c:plotArea>
      <c:layout/>
      <c:pieChart>
        <c:varyColors val="1"/>
        <c:ser>
          <c:idx val="0"/>
          <c:order val="0"/>
          <c:tx>
            <c:strRef>
              <c:f>'Daily Summary'!$B$4</c:f>
              <c:strCache>
                <c:ptCount val="1"/>
                <c:pt idx="0">
                  <c:v>AvgTemp Range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34-46A2-AC9D-13CF59D9C7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34-46A2-AC9D-13CF59D9C7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34-46A2-AC9D-13CF59D9C7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134-46A2-AC9D-13CF59D9C7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134-46A2-AC9D-13CF59D9C7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134-46A2-AC9D-13CF59D9C7A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134-46A2-AC9D-13CF59D9C7A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134-46A2-AC9D-13CF59D9C7A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134-46A2-AC9D-13CF59D9C7A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134-46A2-AC9D-13CF59D9C7A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134-46A2-AC9D-13CF59D9C7A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134-46A2-AC9D-13CF59D9C7A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134-46A2-AC9D-13CF59D9C7A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E134-46A2-AC9D-13CF59D9C7A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E134-46A2-AC9D-13CF59D9C7A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E134-46A2-AC9D-13CF59D9C7A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E134-46A2-AC9D-13CF59D9C7A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E134-46A2-AC9D-13CF59D9C7A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E134-46A2-AC9D-13CF59D9C7A9}"/>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E134-46A2-AC9D-13CF59D9C7A9}"/>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E134-46A2-AC9D-13CF59D9C7A9}"/>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E134-46A2-AC9D-13CF59D9C7A9}"/>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E134-46A2-AC9D-13CF59D9C7A9}"/>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E134-46A2-AC9D-13CF59D9C7A9}"/>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E134-46A2-AC9D-13CF59D9C7A9}"/>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E134-46A2-AC9D-13CF59D9C7A9}"/>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E134-46A2-AC9D-13CF59D9C7A9}"/>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E134-46A2-AC9D-13CF59D9C7A9}"/>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E134-46A2-AC9D-13CF59D9C7A9}"/>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E134-46A2-AC9D-13CF59D9C7A9}"/>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E134-46A2-AC9D-13CF59D9C7A9}"/>
              </c:ext>
            </c:extLst>
          </c:dPt>
          <c:cat>
            <c:multiLvlStrRef>
              <c:f>'Daily Summary'!$A$5:$A$63</c:f>
              <c:multiLvlStrCache>
                <c:ptCount val="29"/>
                <c:lvl>
                  <c:pt idx="0">
                    <c:v>Feb</c:v>
                  </c:pt>
                  <c:pt idx="1">
                    <c:v>Feb</c:v>
                  </c:pt>
                  <c:pt idx="2">
                    <c:v>Feb</c:v>
                  </c:pt>
                  <c:pt idx="3">
                    <c:v>Feb</c:v>
                  </c:pt>
                  <c:pt idx="4">
                    <c:v>Feb</c:v>
                  </c:pt>
                  <c:pt idx="5">
                    <c:v>Feb</c:v>
                  </c:pt>
                  <c:pt idx="6">
                    <c:v>Feb</c:v>
                  </c:pt>
                  <c:pt idx="7">
                    <c:v>Feb</c:v>
                  </c:pt>
                  <c:pt idx="8">
                    <c:v>Feb</c:v>
                  </c:pt>
                  <c:pt idx="9">
                    <c:v>Feb</c:v>
                  </c:pt>
                  <c:pt idx="10">
                    <c:v>Feb</c:v>
                  </c:pt>
                  <c:pt idx="11">
                    <c:v>Feb</c:v>
                  </c:pt>
                  <c:pt idx="12">
                    <c:v>Feb</c:v>
                  </c:pt>
                  <c:pt idx="13">
                    <c:v>Feb</c:v>
                  </c:pt>
                  <c:pt idx="14">
                    <c:v>Feb</c:v>
                  </c:pt>
                  <c:pt idx="15">
                    <c:v>Feb</c:v>
                  </c:pt>
                  <c:pt idx="16">
                    <c:v>Feb</c:v>
                  </c:pt>
                  <c:pt idx="17">
                    <c:v>Feb</c:v>
                  </c:pt>
                  <c:pt idx="18">
                    <c:v>Feb</c:v>
                  </c:pt>
                  <c:pt idx="19">
                    <c:v>Feb</c:v>
                  </c:pt>
                  <c:pt idx="20">
                    <c:v>Feb</c:v>
                  </c:pt>
                  <c:pt idx="21">
                    <c:v>Feb</c:v>
                  </c:pt>
                  <c:pt idx="22">
                    <c:v>Feb</c:v>
                  </c:pt>
                  <c:pt idx="23">
                    <c:v>Feb</c:v>
                  </c:pt>
                  <c:pt idx="24">
                    <c:v>Feb</c:v>
                  </c:pt>
                  <c:pt idx="25">
                    <c:v>Feb</c:v>
                  </c:pt>
                  <c:pt idx="26">
                    <c:v>Feb</c:v>
                  </c:pt>
                  <c:pt idx="27">
                    <c:v>Feb</c:v>
                  </c:pt>
                  <c:pt idx="28">
                    <c:v>Feb</c:v>
                  </c:pt>
                </c:lvl>
                <c:lvl>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lvl>
              </c:multiLvlStrCache>
            </c:multiLvlStrRef>
          </c:cat>
          <c:val>
            <c:numRef>
              <c:f>'Daily Summary'!$B$5:$B$63</c:f>
              <c:numCache>
                <c:formatCode>General</c:formatCode>
                <c:ptCount val="29"/>
                <c:pt idx="0">
                  <c:v>0.80000000000000071</c:v>
                </c:pt>
                <c:pt idx="1">
                  <c:v>5.0999999999999979</c:v>
                </c:pt>
                <c:pt idx="2">
                  <c:v>6.9999999999999982</c:v>
                </c:pt>
                <c:pt idx="3">
                  <c:v>13.3</c:v>
                </c:pt>
                <c:pt idx="4">
                  <c:v>13.6</c:v>
                </c:pt>
                <c:pt idx="5">
                  <c:v>17.399999999999999</c:v>
                </c:pt>
                <c:pt idx="6">
                  <c:v>10</c:v>
                </c:pt>
                <c:pt idx="7">
                  <c:v>11.5</c:v>
                </c:pt>
                <c:pt idx="8">
                  <c:v>9.5999999999999979</c:v>
                </c:pt>
                <c:pt idx="9">
                  <c:v>8.1999999999999993</c:v>
                </c:pt>
                <c:pt idx="10">
                  <c:v>6.5</c:v>
                </c:pt>
                <c:pt idx="11">
                  <c:v>7.8999999999999986</c:v>
                </c:pt>
                <c:pt idx="12">
                  <c:v>8.5999999999999979</c:v>
                </c:pt>
                <c:pt idx="13">
                  <c:v>4</c:v>
                </c:pt>
                <c:pt idx="14">
                  <c:v>6.5</c:v>
                </c:pt>
                <c:pt idx="15">
                  <c:v>10.9</c:v>
                </c:pt>
                <c:pt idx="16">
                  <c:v>12.500000000000002</c:v>
                </c:pt>
                <c:pt idx="17">
                  <c:v>4.6999999999999993</c:v>
                </c:pt>
                <c:pt idx="18">
                  <c:v>6.9000000000000021</c:v>
                </c:pt>
                <c:pt idx="19">
                  <c:v>10.8</c:v>
                </c:pt>
                <c:pt idx="20">
                  <c:v>11.500000000000002</c:v>
                </c:pt>
                <c:pt idx="21">
                  <c:v>13.899999999999999</c:v>
                </c:pt>
                <c:pt idx="22">
                  <c:v>18</c:v>
                </c:pt>
                <c:pt idx="23">
                  <c:v>9.1999999999999993</c:v>
                </c:pt>
                <c:pt idx="24">
                  <c:v>7.1000000000000014</c:v>
                </c:pt>
                <c:pt idx="25">
                  <c:v>6.4000000000000021</c:v>
                </c:pt>
                <c:pt idx="26">
                  <c:v>8.6999999999999993</c:v>
                </c:pt>
                <c:pt idx="27">
                  <c:v>6.7000000000000011</c:v>
                </c:pt>
                <c:pt idx="28">
                  <c:v>10.600000000000001</c:v>
                </c:pt>
              </c:numCache>
            </c:numRef>
          </c:val>
          <c:extLst>
            <c:ext xmlns:c16="http://schemas.microsoft.com/office/drawing/2014/chart" uri="{C3380CC4-5D6E-409C-BE32-E72D297353CC}">
              <c16:uniqueId val="{0000003E-E134-46A2-AC9D-13CF59D9C7A9}"/>
            </c:ext>
          </c:extLst>
        </c:ser>
        <c:ser>
          <c:idx val="1"/>
          <c:order val="1"/>
          <c:tx>
            <c:strRef>
              <c:f>'Daily Summary'!$C$4</c:f>
              <c:strCache>
                <c:ptCount val="1"/>
                <c:pt idx="0">
                  <c:v>Sum of Rainfall (mms)2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0-E134-46A2-AC9D-13CF59D9C7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2-E134-46A2-AC9D-13CF59D9C7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4-E134-46A2-AC9D-13CF59D9C7A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46-E134-46A2-AC9D-13CF59D9C7A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48-E134-46A2-AC9D-13CF59D9C7A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4A-E134-46A2-AC9D-13CF59D9C7A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4C-E134-46A2-AC9D-13CF59D9C7A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4E-E134-46A2-AC9D-13CF59D9C7A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50-E134-46A2-AC9D-13CF59D9C7A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52-E134-46A2-AC9D-13CF59D9C7A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54-E134-46A2-AC9D-13CF59D9C7A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56-E134-46A2-AC9D-13CF59D9C7A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58-E134-46A2-AC9D-13CF59D9C7A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5A-E134-46A2-AC9D-13CF59D9C7A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5C-E134-46A2-AC9D-13CF59D9C7A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5E-E134-46A2-AC9D-13CF59D9C7A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60-E134-46A2-AC9D-13CF59D9C7A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62-E134-46A2-AC9D-13CF59D9C7A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64-E134-46A2-AC9D-13CF59D9C7A9}"/>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66-E134-46A2-AC9D-13CF59D9C7A9}"/>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68-E134-46A2-AC9D-13CF59D9C7A9}"/>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6A-E134-46A2-AC9D-13CF59D9C7A9}"/>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6C-E134-46A2-AC9D-13CF59D9C7A9}"/>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6E-E134-46A2-AC9D-13CF59D9C7A9}"/>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70-E134-46A2-AC9D-13CF59D9C7A9}"/>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72-E134-46A2-AC9D-13CF59D9C7A9}"/>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74-E134-46A2-AC9D-13CF59D9C7A9}"/>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76-E134-46A2-AC9D-13CF59D9C7A9}"/>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78-E134-46A2-AC9D-13CF59D9C7A9}"/>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7A-E134-46A2-AC9D-13CF59D9C7A9}"/>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7C-E134-46A2-AC9D-13CF59D9C7A9}"/>
              </c:ext>
            </c:extLst>
          </c:dPt>
          <c:cat>
            <c:multiLvlStrRef>
              <c:f>'Daily Summary'!$A$5:$A$63</c:f>
              <c:multiLvlStrCache>
                <c:ptCount val="29"/>
                <c:lvl>
                  <c:pt idx="0">
                    <c:v>Feb</c:v>
                  </c:pt>
                  <c:pt idx="1">
                    <c:v>Feb</c:v>
                  </c:pt>
                  <c:pt idx="2">
                    <c:v>Feb</c:v>
                  </c:pt>
                  <c:pt idx="3">
                    <c:v>Feb</c:v>
                  </c:pt>
                  <c:pt idx="4">
                    <c:v>Feb</c:v>
                  </c:pt>
                  <c:pt idx="5">
                    <c:v>Feb</c:v>
                  </c:pt>
                  <c:pt idx="6">
                    <c:v>Feb</c:v>
                  </c:pt>
                  <c:pt idx="7">
                    <c:v>Feb</c:v>
                  </c:pt>
                  <c:pt idx="8">
                    <c:v>Feb</c:v>
                  </c:pt>
                  <c:pt idx="9">
                    <c:v>Feb</c:v>
                  </c:pt>
                  <c:pt idx="10">
                    <c:v>Feb</c:v>
                  </c:pt>
                  <c:pt idx="11">
                    <c:v>Feb</c:v>
                  </c:pt>
                  <c:pt idx="12">
                    <c:v>Feb</c:v>
                  </c:pt>
                  <c:pt idx="13">
                    <c:v>Feb</c:v>
                  </c:pt>
                  <c:pt idx="14">
                    <c:v>Feb</c:v>
                  </c:pt>
                  <c:pt idx="15">
                    <c:v>Feb</c:v>
                  </c:pt>
                  <c:pt idx="16">
                    <c:v>Feb</c:v>
                  </c:pt>
                  <c:pt idx="17">
                    <c:v>Feb</c:v>
                  </c:pt>
                  <c:pt idx="18">
                    <c:v>Feb</c:v>
                  </c:pt>
                  <c:pt idx="19">
                    <c:v>Feb</c:v>
                  </c:pt>
                  <c:pt idx="20">
                    <c:v>Feb</c:v>
                  </c:pt>
                  <c:pt idx="21">
                    <c:v>Feb</c:v>
                  </c:pt>
                  <c:pt idx="22">
                    <c:v>Feb</c:v>
                  </c:pt>
                  <c:pt idx="23">
                    <c:v>Feb</c:v>
                  </c:pt>
                  <c:pt idx="24">
                    <c:v>Feb</c:v>
                  </c:pt>
                  <c:pt idx="25">
                    <c:v>Feb</c:v>
                  </c:pt>
                  <c:pt idx="26">
                    <c:v>Feb</c:v>
                  </c:pt>
                  <c:pt idx="27">
                    <c:v>Feb</c:v>
                  </c:pt>
                  <c:pt idx="28">
                    <c:v>Feb</c:v>
                  </c:pt>
                </c:lvl>
                <c:lvl>
                  <c:pt idx="0">
                    <c:v>1-Feb</c:v>
                  </c:pt>
                  <c:pt idx="1">
                    <c:v>2-Feb</c:v>
                  </c:pt>
                  <c:pt idx="2">
                    <c:v>3-Feb</c:v>
                  </c:pt>
                  <c:pt idx="3">
                    <c:v>4-Feb</c:v>
                  </c:pt>
                  <c:pt idx="4">
                    <c:v>5-Feb</c:v>
                  </c:pt>
                  <c:pt idx="5">
                    <c:v>6-Feb</c:v>
                  </c:pt>
                  <c:pt idx="6">
                    <c:v>7-Feb</c:v>
                  </c:pt>
                  <c:pt idx="7">
                    <c:v>8-Feb</c:v>
                  </c:pt>
                  <c:pt idx="8">
                    <c:v>9-Feb</c:v>
                  </c:pt>
                  <c:pt idx="9">
                    <c:v>10-Feb</c:v>
                  </c:pt>
                  <c:pt idx="10">
                    <c:v>11-Feb</c:v>
                  </c:pt>
                  <c:pt idx="11">
                    <c:v>12-Feb</c:v>
                  </c:pt>
                  <c:pt idx="12">
                    <c:v>13-Feb</c:v>
                  </c:pt>
                  <c:pt idx="13">
                    <c:v>14-Feb</c:v>
                  </c:pt>
                  <c:pt idx="14">
                    <c:v>15-Feb</c:v>
                  </c:pt>
                  <c:pt idx="15">
                    <c:v>16-Feb</c:v>
                  </c:pt>
                  <c:pt idx="16">
                    <c:v>17-Feb</c:v>
                  </c:pt>
                  <c:pt idx="17">
                    <c:v>18-Feb</c:v>
                  </c:pt>
                  <c:pt idx="18">
                    <c:v>19-Feb</c:v>
                  </c:pt>
                  <c:pt idx="19">
                    <c:v>20-Feb</c:v>
                  </c:pt>
                  <c:pt idx="20">
                    <c:v>21-Feb</c:v>
                  </c:pt>
                  <c:pt idx="21">
                    <c:v>22-Feb</c:v>
                  </c:pt>
                  <c:pt idx="22">
                    <c:v>23-Feb</c:v>
                  </c:pt>
                  <c:pt idx="23">
                    <c:v>24-Feb</c:v>
                  </c:pt>
                  <c:pt idx="24">
                    <c:v>25-Feb</c:v>
                  </c:pt>
                  <c:pt idx="25">
                    <c:v>26-Feb</c:v>
                  </c:pt>
                  <c:pt idx="26">
                    <c:v>27-Feb</c:v>
                  </c:pt>
                  <c:pt idx="27">
                    <c:v>28-Feb</c:v>
                  </c:pt>
                  <c:pt idx="28">
                    <c:v>29-Feb</c:v>
                  </c:pt>
                </c:lvl>
              </c:multiLvlStrCache>
            </c:multiLvlStrRef>
          </c:cat>
          <c:val>
            <c:numRef>
              <c:f>'Daily Summary'!$C$5:$C$63</c:f>
              <c:numCache>
                <c:formatCode>General</c:formatCode>
                <c:ptCount val="29"/>
                <c:pt idx="0">
                  <c:v>29.6</c:v>
                </c:pt>
                <c:pt idx="1">
                  <c:v>1.6</c:v>
                </c:pt>
                <c:pt idx="2">
                  <c:v>0</c:v>
                </c:pt>
                <c:pt idx="3">
                  <c:v>0</c:v>
                </c:pt>
                <c:pt idx="4">
                  <c:v>0</c:v>
                </c:pt>
                <c:pt idx="5">
                  <c:v>0</c:v>
                </c:pt>
                <c:pt idx="6">
                  <c:v>0</c:v>
                </c:pt>
                <c:pt idx="7">
                  <c:v>0.2</c:v>
                </c:pt>
                <c:pt idx="8">
                  <c:v>0</c:v>
                </c:pt>
                <c:pt idx="9">
                  <c:v>0</c:v>
                </c:pt>
                <c:pt idx="10">
                  <c:v>0</c:v>
                </c:pt>
                <c:pt idx="11">
                  <c:v>0</c:v>
                </c:pt>
                <c:pt idx="12">
                  <c:v>0</c:v>
                </c:pt>
                <c:pt idx="13">
                  <c:v>0</c:v>
                </c:pt>
                <c:pt idx="14">
                  <c:v>0</c:v>
                </c:pt>
                <c:pt idx="15">
                  <c:v>0</c:v>
                </c:pt>
                <c:pt idx="16">
                  <c:v>0</c:v>
                </c:pt>
                <c:pt idx="17">
                  <c:v>0</c:v>
                </c:pt>
                <c:pt idx="18">
                  <c:v>0.6</c:v>
                </c:pt>
                <c:pt idx="19">
                  <c:v>0</c:v>
                </c:pt>
                <c:pt idx="20">
                  <c:v>0</c:v>
                </c:pt>
                <c:pt idx="21">
                  <c:v>0</c:v>
                </c:pt>
                <c:pt idx="22">
                  <c:v>0</c:v>
                </c:pt>
                <c:pt idx="23">
                  <c:v>0</c:v>
                </c:pt>
                <c:pt idx="24">
                  <c:v>0</c:v>
                </c:pt>
                <c:pt idx="25">
                  <c:v>0</c:v>
                </c:pt>
                <c:pt idx="26">
                  <c:v>0.4</c:v>
                </c:pt>
                <c:pt idx="27">
                  <c:v>0.4</c:v>
                </c:pt>
                <c:pt idx="28">
                  <c:v>0</c:v>
                </c:pt>
              </c:numCache>
            </c:numRef>
          </c:val>
          <c:extLst>
            <c:ext xmlns:c16="http://schemas.microsoft.com/office/drawing/2014/chart" uri="{C3380CC4-5D6E-409C-BE32-E72D297353CC}">
              <c16:uniqueId val="{0000007D-E134-46A2-AC9D-13CF59D9C7A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60960</xdr:colOff>
      <xdr:row>9</xdr:row>
      <xdr:rowOff>89534</xdr:rowOff>
    </xdr:from>
    <xdr:to>
      <xdr:col>12</xdr:col>
      <xdr:colOff>489585</xdr:colOff>
      <xdr:row>18</xdr:row>
      <xdr:rowOff>57149</xdr:rowOff>
    </xdr:to>
    <xdr:graphicFrame macro="">
      <xdr:nvGraphicFramePr>
        <xdr:cNvPr id="3" name="Chart 2">
          <a:extLst>
            <a:ext uri="{FF2B5EF4-FFF2-40B4-BE49-F238E27FC236}">
              <a16:creationId xmlns:a16="http://schemas.microsoft.com/office/drawing/2014/main" id="{D0E4DB0C-E09D-42EA-A685-DF3F454027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11</xdr:row>
      <xdr:rowOff>0</xdr:rowOff>
    </xdr:from>
    <xdr:to>
      <xdr:col>4</xdr:col>
      <xdr:colOff>639108</xdr:colOff>
      <xdr:row>14</xdr:row>
      <xdr:rowOff>104775</xdr:rowOff>
    </xdr:to>
    <mc:AlternateContent xmlns:mc="http://schemas.openxmlformats.org/markup-compatibility/2006" xmlns:a14="http://schemas.microsoft.com/office/drawing/2010/main">
      <mc:Choice Requires="a14">
        <xdr:graphicFrame macro="">
          <xdr:nvGraphicFramePr>
            <xdr:cNvPr id="4" name="Month Name">
              <a:extLst>
                <a:ext uri="{FF2B5EF4-FFF2-40B4-BE49-F238E27FC236}">
                  <a16:creationId xmlns:a16="http://schemas.microsoft.com/office/drawing/2014/main" id="{06A2BB76-185D-46A4-B2BB-3BE0EB971594}"/>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0" y="2562225"/>
              <a:ext cx="5054898" cy="7810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7620</xdr:colOff>
      <xdr:row>10</xdr:row>
      <xdr:rowOff>220980</xdr:rowOff>
    </xdr:from>
    <xdr:to>
      <xdr:col>6</xdr:col>
      <xdr:colOff>1057275</xdr:colOff>
      <xdr:row>13</xdr:row>
      <xdr:rowOff>144780</xdr:rowOff>
    </xdr:to>
    <mc:AlternateContent xmlns:mc="http://schemas.openxmlformats.org/markup-compatibility/2006" xmlns:a14="http://schemas.microsoft.com/office/drawing/2010/main">
      <mc:Choice Requires="a14">
        <xdr:graphicFrame macro="">
          <xdr:nvGraphicFramePr>
            <xdr:cNvPr id="6" name="Station Name">
              <a:extLst>
                <a:ext uri="{FF2B5EF4-FFF2-40B4-BE49-F238E27FC236}">
                  <a16:creationId xmlns:a16="http://schemas.microsoft.com/office/drawing/2014/main" id="{A50CE152-6515-41D2-BA21-800DBE6D9DC7}"/>
                </a:ext>
              </a:extLst>
            </xdr:cNvPr>
            <xdr:cNvGraphicFramePr/>
          </xdr:nvGraphicFramePr>
          <xdr:xfrm>
            <a:off x="0" y="0"/>
            <a:ext cx="0" cy="0"/>
          </xdr:xfrm>
          <a:graphic>
            <a:graphicData uri="http://schemas.microsoft.com/office/drawing/2010/slicer">
              <sle:slicer xmlns:sle="http://schemas.microsoft.com/office/drawing/2010/slicer" name="Station Name"/>
            </a:graphicData>
          </a:graphic>
        </xdr:graphicFrame>
      </mc:Choice>
      <mc:Fallback xmlns="">
        <xdr:sp macro="" textlink="">
          <xdr:nvSpPr>
            <xdr:cNvPr id="0" name=""/>
            <xdr:cNvSpPr>
              <a:spLocks noTextEdit="1"/>
            </xdr:cNvSpPr>
          </xdr:nvSpPr>
          <xdr:spPr>
            <a:xfrm>
              <a:off x="5591175" y="2552700"/>
              <a:ext cx="2419350" cy="59626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116205</xdr:colOff>
      <xdr:row>1</xdr:row>
      <xdr:rowOff>144780</xdr:rowOff>
    </xdr:from>
    <xdr:to>
      <xdr:col>12</xdr:col>
      <xdr:colOff>499110</xdr:colOff>
      <xdr:row>9</xdr:row>
      <xdr:rowOff>53340</xdr:rowOff>
    </xdr:to>
    <xdr:graphicFrame macro="">
      <xdr:nvGraphicFramePr>
        <xdr:cNvPr id="9" name="Chart 8">
          <a:extLst>
            <a:ext uri="{FF2B5EF4-FFF2-40B4-BE49-F238E27FC236}">
              <a16:creationId xmlns:a16="http://schemas.microsoft.com/office/drawing/2014/main" id="{B858B496-648D-42C4-A2F7-22C8E986E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n" refreshedDate="45692.042895833336" createdVersion="7" refreshedVersion="7" minRefreshableVersion="3" recordCount="732" xr:uid="{DD69DF5F-A345-454C-8C84-4A4917AC3D83}">
  <cacheSource type="worksheet">
    <worksheetSource name="WeatherData"/>
  </cacheSource>
  <cacheFields count="13">
    <cacheField name="Station Number" numFmtId="0">
      <sharedItems containsSemiMixedTypes="0" containsString="0" containsNumber="1" containsInteger="1" minValue="23034" maxValue="86338"/>
    </cacheField>
    <cacheField name="Station Name" numFmtId="0">
      <sharedItems count="2">
        <s v="Adelaide Airport "/>
        <s v="Melbourne (Olympic Park) "/>
      </sharedItems>
    </cacheField>
    <cacheField name="Year" numFmtId="0">
      <sharedItems containsSemiMixedTypes="0" containsString="0" containsNumber="1" containsInteger="1" minValue="2020" maxValue="2020"/>
    </cacheField>
    <cacheField name="Month" numFmtId="0">
      <sharedItems containsSemiMixedTypes="0" containsString="0" containsNumber="1" containsInteger="1" minValue="1" maxValue="12"/>
    </cacheField>
    <cacheField name="Day" numFmtId="0">
      <sharedItems containsSemiMixedTypes="0" containsString="0" containsNumber="1" containsInteger="1" minValue="1" maxValue="31"/>
    </cacheField>
    <cacheField name="Date" numFmtId="14">
      <sharedItems containsSemiMixedTypes="0" containsNonDate="0" containsDate="1" containsString="0" minDate="2020-01-01T00:00:00" maxDate="2021-01-01T00:00:00" count="366">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par="12" base="5">
        <rangePr groupBy="days" startDate="2020-01-01T00:00:00" endDate="2021-01-01T00:00:00"/>
        <groupItems count="368">
          <s v="&lt;1/01/202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1/2021"/>
        </groupItems>
      </fieldGroup>
    </cacheField>
    <cacheField name="Month Name" numFmtId="14">
      <sharedItems count="12">
        <s v="January"/>
        <s v="February"/>
        <s v="March"/>
        <s v="April"/>
        <s v="May"/>
        <s v="June"/>
        <s v="July"/>
        <s v="August"/>
        <s v="September"/>
        <s v="October"/>
        <s v="November"/>
        <s v="December"/>
      </sharedItems>
    </cacheField>
    <cacheField name="Rainfall (mms)" numFmtId="164">
      <sharedItems containsSemiMixedTypes="0" containsString="0" containsNumber="1" minValue="0" maxValue="54.6"/>
    </cacheField>
    <cacheField name="Max Temp (° C)" numFmtId="164">
      <sharedItems containsSemiMixedTypes="0" containsString="0" containsNumber="1" minValue="9.9" maxValue="42.9"/>
    </cacheField>
    <cacheField name="Min Temp(° C)" numFmtId="164">
      <sharedItems containsSemiMixedTypes="0" containsString="0" containsNumber="1" minValue="-0.4" maxValue="27.7"/>
    </cacheField>
    <cacheField name="Temperature Range " numFmtId="164">
      <sharedItems containsSemiMixedTypes="0" containsString="0" containsNumber="1" minValue="0.39999999999999858" maxValue="25.8"/>
    </cacheField>
    <cacheField name="Weather Condition" numFmtId="0">
      <sharedItems count="4">
        <s v="Normal"/>
        <s v="Heatwave"/>
        <s v="Heavy Rain"/>
        <s v="Cold"/>
      </sharedItems>
    </cacheField>
    <cacheField name="Months" numFmtId="0" databaseField="0">
      <fieldGroup base="5">
        <rangePr groupBy="months" startDate="2020-01-01T00:00:00" endDate="2021-01-01T00:00:00"/>
        <groupItems count="14">
          <s v="&lt;1/01/2020"/>
          <s v="Jan"/>
          <s v="Feb"/>
          <s v="Mar"/>
          <s v="Apr"/>
          <s v="May"/>
          <s v="Jun"/>
          <s v="Jul"/>
          <s v="Aug"/>
          <s v="Sep"/>
          <s v="Oct"/>
          <s v="Nov"/>
          <s v="Dec"/>
          <s v="&gt;1/01/2021"/>
        </groupItems>
      </fieldGroup>
    </cacheField>
  </cacheFields>
  <extLst>
    <ext xmlns:x14="http://schemas.microsoft.com/office/spreadsheetml/2009/9/main" uri="{725AE2AE-9491-48be-B2B4-4EB974FC3084}">
      <x14:pivotCacheDefinition pivotCacheId="8138380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2">
  <r>
    <n v="23034"/>
    <x v="0"/>
    <n v="2020"/>
    <n v="1"/>
    <n v="1"/>
    <x v="0"/>
    <x v="0"/>
    <n v="0"/>
    <n v="23.9"/>
    <n v="12"/>
    <n v="11.899999999999999"/>
    <x v="0"/>
  </r>
  <r>
    <n v="23034"/>
    <x v="0"/>
    <n v="2020"/>
    <n v="1"/>
    <n v="2"/>
    <x v="1"/>
    <x v="0"/>
    <n v="0"/>
    <n v="33.4"/>
    <n v="13.2"/>
    <n v="20.2"/>
    <x v="0"/>
  </r>
  <r>
    <n v="23034"/>
    <x v="0"/>
    <n v="2020"/>
    <n v="1"/>
    <n v="3"/>
    <x v="2"/>
    <x v="0"/>
    <n v="0"/>
    <n v="39.700000000000003"/>
    <n v="19.2"/>
    <n v="20.500000000000004"/>
    <x v="1"/>
  </r>
  <r>
    <n v="23034"/>
    <x v="0"/>
    <n v="2020"/>
    <n v="1"/>
    <n v="4"/>
    <x v="3"/>
    <x v="0"/>
    <n v="0"/>
    <n v="25"/>
    <n v="19.7"/>
    <n v="5.3000000000000007"/>
    <x v="0"/>
  </r>
  <r>
    <n v="23034"/>
    <x v="0"/>
    <n v="2020"/>
    <n v="1"/>
    <n v="5"/>
    <x v="4"/>
    <x v="0"/>
    <n v="4"/>
    <n v="17.8"/>
    <n v="11.7"/>
    <n v="6.1000000000000014"/>
    <x v="0"/>
  </r>
  <r>
    <n v="23034"/>
    <x v="0"/>
    <n v="2020"/>
    <n v="1"/>
    <n v="6"/>
    <x v="5"/>
    <x v="0"/>
    <n v="0.6"/>
    <n v="28"/>
    <n v="13.3"/>
    <n v="14.7"/>
    <x v="0"/>
  </r>
  <r>
    <n v="23034"/>
    <x v="0"/>
    <n v="2020"/>
    <n v="1"/>
    <n v="7"/>
    <x v="6"/>
    <x v="0"/>
    <n v="0"/>
    <n v="31.7"/>
    <n v="15"/>
    <n v="16.7"/>
    <x v="0"/>
  </r>
  <r>
    <n v="23034"/>
    <x v="0"/>
    <n v="2020"/>
    <n v="1"/>
    <n v="8"/>
    <x v="7"/>
    <x v="0"/>
    <n v="0"/>
    <n v="34.1"/>
    <n v="21.3"/>
    <n v="12.8"/>
    <x v="0"/>
  </r>
  <r>
    <n v="23034"/>
    <x v="0"/>
    <n v="2020"/>
    <n v="1"/>
    <n v="9"/>
    <x v="8"/>
    <x v="0"/>
    <n v="0"/>
    <n v="40.700000000000003"/>
    <n v="19.3"/>
    <n v="21.400000000000002"/>
    <x v="1"/>
  </r>
  <r>
    <n v="23034"/>
    <x v="0"/>
    <n v="2020"/>
    <n v="1"/>
    <n v="10"/>
    <x v="9"/>
    <x v="0"/>
    <n v="0"/>
    <n v="22.4"/>
    <n v="22"/>
    <n v="0.39999999999999858"/>
    <x v="0"/>
  </r>
  <r>
    <n v="23034"/>
    <x v="0"/>
    <n v="2020"/>
    <n v="1"/>
    <n v="11"/>
    <x v="10"/>
    <x v="0"/>
    <n v="1.4"/>
    <n v="23.8"/>
    <n v="14.3"/>
    <n v="9.5"/>
    <x v="0"/>
  </r>
  <r>
    <n v="23034"/>
    <x v="0"/>
    <n v="2020"/>
    <n v="1"/>
    <n v="12"/>
    <x v="11"/>
    <x v="0"/>
    <n v="0"/>
    <n v="29.8"/>
    <n v="13.2"/>
    <n v="16.600000000000001"/>
    <x v="0"/>
  </r>
  <r>
    <n v="23034"/>
    <x v="0"/>
    <n v="2020"/>
    <n v="1"/>
    <n v="13"/>
    <x v="12"/>
    <x v="0"/>
    <n v="0"/>
    <n v="31.7"/>
    <n v="15.2"/>
    <n v="16.5"/>
    <x v="0"/>
  </r>
  <r>
    <n v="23034"/>
    <x v="0"/>
    <n v="2020"/>
    <n v="1"/>
    <n v="14"/>
    <x v="13"/>
    <x v="0"/>
    <n v="0"/>
    <n v="28.4"/>
    <n v="17.8"/>
    <n v="10.599999999999998"/>
    <x v="0"/>
  </r>
  <r>
    <n v="23034"/>
    <x v="0"/>
    <n v="2020"/>
    <n v="1"/>
    <n v="15"/>
    <x v="14"/>
    <x v="0"/>
    <n v="0"/>
    <n v="24.7"/>
    <n v="17.3"/>
    <n v="7.3999999999999986"/>
    <x v="0"/>
  </r>
  <r>
    <n v="23034"/>
    <x v="0"/>
    <n v="2020"/>
    <n v="1"/>
    <n v="16"/>
    <x v="15"/>
    <x v="0"/>
    <n v="0"/>
    <n v="24.1"/>
    <n v="16"/>
    <n v="8.1000000000000014"/>
    <x v="0"/>
  </r>
  <r>
    <n v="23034"/>
    <x v="0"/>
    <n v="2020"/>
    <n v="1"/>
    <n v="17"/>
    <x v="16"/>
    <x v="0"/>
    <n v="0"/>
    <n v="23.9"/>
    <n v="12.9"/>
    <n v="10.999999999999998"/>
    <x v="0"/>
  </r>
  <r>
    <n v="23034"/>
    <x v="0"/>
    <n v="2020"/>
    <n v="1"/>
    <n v="18"/>
    <x v="17"/>
    <x v="0"/>
    <n v="0"/>
    <n v="23.8"/>
    <n v="13.8"/>
    <n v="10"/>
    <x v="0"/>
  </r>
  <r>
    <n v="23034"/>
    <x v="0"/>
    <n v="2020"/>
    <n v="1"/>
    <n v="19"/>
    <x v="18"/>
    <x v="0"/>
    <n v="0"/>
    <n v="23.2"/>
    <n v="16.399999999999999"/>
    <n v="6.8000000000000007"/>
    <x v="0"/>
  </r>
  <r>
    <n v="23034"/>
    <x v="0"/>
    <n v="2020"/>
    <n v="1"/>
    <n v="20"/>
    <x v="19"/>
    <x v="0"/>
    <n v="9"/>
    <n v="20"/>
    <n v="15.5"/>
    <n v="4.5"/>
    <x v="0"/>
  </r>
  <r>
    <n v="23034"/>
    <x v="0"/>
    <n v="2020"/>
    <n v="1"/>
    <n v="21"/>
    <x v="20"/>
    <x v="0"/>
    <n v="0"/>
    <n v="26.7"/>
    <n v="15.8"/>
    <n v="10.899999999999999"/>
    <x v="0"/>
  </r>
  <r>
    <n v="23034"/>
    <x v="0"/>
    <n v="2020"/>
    <n v="1"/>
    <n v="22"/>
    <x v="21"/>
    <x v="0"/>
    <n v="0"/>
    <n v="25.1"/>
    <n v="17.7"/>
    <n v="7.4000000000000021"/>
    <x v="0"/>
  </r>
  <r>
    <n v="23034"/>
    <x v="0"/>
    <n v="2020"/>
    <n v="1"/>
    <n v="23"/>
    <x v="22"/>
    <x v="0"/>
    <n v="2.8"/>
    <n v="20.399999999999999"/>
    <n v="14.7"/>
    <n v="5.6999999999999993"/>
    <x v="0"/>
  </r>
  <r>
    <n v="23034"/>
    <x v="0"/>
    <n v="2020"/>
    <n v="1"/>
    <n v="24"/>
    <x v="23"/>
    <x v="0"/>
    <n v="0"/>
    <n v="22"/>
    <n v="16.600000000000001"/>
    <n v="5.3999999999999986"/>
    <x v="0"/>
  </r>
  <r>
    <n v="23034"/>
    <x v="0"/>
    <n v="2020"/>
    <n v="1"/>
    <n v="25"/>
    <x v="24"/>
    <x v="0"/>
    <n v="0"/>
    <n v="24"/>
    <n v="16.5"/>
    <n v="7.5"/>
    <x v="0"/>
  </r>
  <r>
    <n v="23034"/>
    <x v="0"/>
    <n v="2020"/>
    <n v="1"/>
    <n v="26"/>
    <x v="25"/>
    <x v="0"/>
    <n v="0"/>
    <n v="23.6"/>
    <n v="16.399999999999999"/>
    <n v="7.2000000000000028"/>
    <x v="0"/>
  </r>
  <r>
    <n v="23034"/>
    <x v="0"/>
    <n v="2020"/>
    <n v="1"/>
    <n v="27"/>
    <x v="26"/>
    <x v="0"/>
    <n v="0"/>
    <n v="26.4"/>
    <n v="14.7"/>
    <n v="11.7"/>
    <x v="0"/>
  </r>
  <r>
    <n v="23034"/>
    <x v="0"/>
    <n v="2020"/>
    <n v="1"/>
    <n v="28"/>
    <x v="27"/>
    <x v="0"/>
    <n v="0"/>
    <n v="25.3"/>
    <n v="13.2"/>
    <n v="12.100000000000001"/>
    <x v="0"/>
  </r>
  <r>
    <n v="23034"/>
    <x v="0"/>
    <n v="2020"/>
    <n v="1"/>
    <n v="29"/>
    <x v="28"/>
    <x v="0"/>
    <n v="0"/>
    <n v="34.799999999999997"/>
    <n v="14.1"/>
    <n v="20.699999999999996"/>
    <x v="0"/>
  </r>
  <r>
    <n v="23034"/>
    <x v="0"/>
    <n v="2020"/>
    <n v="1"/>
    <n v="30"/>
    <x v="29"/>
    <x v="0"/>
    <n v="0"/>
    <n v="42.3"/>
    <n v="20.3"/>
    <n v="21.999999999999996"/>
    <x v="1"/>
  </r>
  <r>
    <n v="23034"/>
    <x v="0"/>
    <n v="2020"/>
    <n v="1"/>
    <n v="31"/>
    <x v="30"/>
    <x v="0"/>
    <n v="0"/>
    <n v="35.5"/>
    <n v="27.7"/>
    <n v="7.8000000000000007"/>
    <x v="1"/>
  </r>
  <r>
    <n v="23034"/>
    <x v="0"/>
    <n v="2020"/>
    <n v="2"/>
    <n v="1"/>
    <x v="31"/>
    <x v="1"/>
    <n v="29.6"/>
    <n v="21"/>
    <n v="20.2"/>
    <n v="0.80000000000000071"/>
    <x v="2"/>
  </r>
  <r>
    <n v="23034"/>
    <x v="0"/>
    <n v="2020"/>
    <n v="2"/>
    <n v="2"/>
    <x v="32"/>
    <x v="1"/>
    <n v="1.6"/>
    <n v="22.4"/>
    <n v="17.3"/>
    <n v="5.0999999999999979"/>
    <x v="0"/>
  </r>
  <r>
    <n v="23034"/>
    <x v="0"/>
    <n v="2020"/>
    <n v="2"/>
    <n v="3"/>
    <x v="33"/>
    <x v="1"/>
    <n v="0"/>
    <n v="22.4"/>
    <n v="15.4"/>
    <n v="6.9999999999999982"/>
    <x v="0"/>
  </r>
  <r>
    <n v="23034"/>
    <x v="0"/>
    <n v="2020"/>
    <n v="2"/>
    <n v="4"/>
    <x v="34"/>
    <x v="1"/>
    <n v="0"/>
    <n v="25.6"/>
    <n v="12.3"/>
    <n v="13.3"/>
    <x v="0"/>
  </r>
  <r>
    <n v="23034"/>
    <x v="0"/>
    <n v="2020"/>
    <n v="2"/>
    <n v="5"/>
    <x v="35"/>
    <x v="1"/>
    <n v="0"/>
    <n v="27.5"/>
    <n v="13.9"/>
    <n v="13.6"/>
    <x v="0"/>
  </r>
  <r>
    <n v="23034"/>
    <x v="0"/>
    <n v="2020"/>
    <n v="2"/>
    <n v="6"/>
    <x v="36"/>
    <x v="1"/>
    <n v="0"/>
    <n v="31.9"/>
    <n v="14.5"/>
    <n v="17.399999999999999"/>
    <x v="0"/>
  </r>
  <r>
    <n v="23034"/>
    <x v="0"/>
    <n v="2020"/>
    <n v="2"/>
    <n v="7"/>
    <x v="37"/>
    <x v="1"/>
    <n v="0"/>
    <n v="29.1"/>
    <n v="19.100000000000001"/>
    <n v="10"/>
    <x v="0"/>
  </r>
  <r>
    <n v="23034"/>
    <x v="0"/>
    <n v="2020"/>
    <n v="2"/>
    <n v="8"/>
    <x v="38"/>
    <x v="1"/>
    <n v="0.2"/>
    <n v="33"/>
    <n v="21.5"/>
    <n v="11.5"/>
    <x v="0"/>
  </r>
  <r>
    <n v="23034"/>
    <x v="0"/>
    <n v="2020"/>
    <n v="2"/>
    <n v="9"/>
    <x v="39"/>
    <x v="1"/>
    <n v="0"/>
    <n v="31.9"/>
    <n v="22.3"/>
    <n v="9.5999999999999979"/>
    <x v="0"/>
  </r>
  <r>
    <n v="23034"/>
    <x v="0"/>
    <n v="2020"/>
    <n v="2"/>
    <n v="10"/>
    <x v="40"/>
    <x v="1"/>
    <n v="0"/>
    <n v="27.7"/>
    <n v="19.5"/>
    <n v="8.1999999999999993"/>
    <x v="0"/>
  </r>
  <r>
    <n v="23034"/>
    <x v="0"/>
    <n v="2020"/>
    <n v="2"/>
    <n v="11"/>
    <x v="41"/>
    <x v="1"/>
    <n v="0"/>
    <n v="24.8"/>
    <n v="18.3"/>
    <n v="6.5"/>
    <x v="0"/>
  </r>
  <r>
    <n v="23034"/>
    <x v="0"/>
    <n v="2020"/>
    <n v="2"/>
    <n v="12"/>
    <x v="42"/>
    <x v="1"/>
    <n v="0"/>
    <n v="25.9"/>
    <n v="18"/>
    <n v="7.8999999999999986"/>
    <x v="0"/>
  </r>
  <r>
    <n v="23034"/>
    <x v="0"/>
    <n v="2020"/>
    <n v="2"/>
    <n v="13"/>
    <x v="43"/>
    <x v="1"/>
    <n v="0"/>
    <n v="25.9"/>
    <n v="17.3"/>
    <n v="8.5999999999999979"/>
    <x v="0"/>
  </r>
  <r>
    <n v="23034"/>
    <x v="0"/>
    <n v="2020"/>
    <n v="2"/>
    <n v="14"/>
    <x v="44"/>
    <x v="1"/>
    <n v="0"/>
    <n v="23.3"/>
    <n v="19.3"/>
    <n v="4"/>
    <x v="0"/>
  </r>
  <r>
    <n v="23034"/>
    <x v="0"/>
    <n v="2020"/>
    <n v="2"/>
    <n v="15"/>
    <x v="45"/>
    <x v="1"/>
    <n v="0"/>
    <n v="23.8"/>
    <n v="17.3"/>
    <n v="6.5"/>
    <x v="0"/>
  </r>
  <r>
    <n v="23034"/>
    <x v="0"/>
    <n v="2020"/>
    <n v="2"/>
    <n v="16"/>
    <x v="46"/>
    <x v="1"/>
    <n v="0"/>
    <n v="24.5"/>
    <n v="13.6"/>
    <n v="10.9"/>
    <x v="0"/>
  </r>
  <r>
    <n v="23034"/>
    <x v="0"/>
    <n v="2020"/>
    <n v="2"/>
    <n v="17"/>
    <x v="47"/>
    <x v="1"/>
    <n v="0"/>
    <n v="25.6"/>
    <n v="13.1"/>
    <n v="12.500000000000002"/>
    <x v="0"/>
  </r>
  <r>
    <n v="23034"/>
    <x v="0"/>
    <n v="2020"/>
    <n v="2"/>
    <n v="18"/>
    <x v="48"/>
    <x v="1"/>
    <n v="0"/>
    <n v="23"/>
    <n v="18.3"/>
    <n v="4.6999999999999993"/>
    <x v="0"/>
  </r>
  <r>
    <n v="23034"/>
    <x v="0"/>
    <n v="2020"/>
    <n v="2"/>
    <n v="19"/>
    <x v="49"/>
    <x v="1"/>
    <n v="0.6"/>
    <n v="22.6"/>
    <n v="15.7"/>
    <n v="6.9000000000000021"/>
    <x v="0"/>
  </r>
  <r>
    <n v="23034"/>
    <x v="0"/>
    <n v="2020"/>
    <n v="2"/>
    <n v="20"/>
    <x v="50"/>
    <x v="1"/>
    <n v="0"/>
    <n v="23.1"/>
    <n v="12.3"/>
    <n v="10.8"/>
    <x v="0"/>
  </r>
  <r>
    <n v="23034"/>
    <x v="0"/>
    <n v="2020"/>
    <n v="2"/>
    <n v="21"/>
    <x v="51"/>
    <x v="1"/>
    <n v="0"/>
    <n v="24.6"/>
    <n v="13.1"/>
    <n v="11.500000000000002"/>
    <x v="0"/>
  </r>
  <r>
    <n v="23034"/>
    <x v="0"/>
    <n v="2020"/>
    <n v="2"/>
    <n v="22"/>
    <x v="52"/>
    <x v="1"/>
    <n v="0"/>
    <n v="26.9"/>
    <n v="13"/>
    <n v="13.899999999999999"/>
    <x v="0"/>
  </r>
  <r>
    <n v="23034"/>
    <x v="0"/>
    <n v="2020"/>
    <n v="2"/>
    <n v="23"/>
    <x v="53"/>
    <x v="1"/>
    <n v="0"/>
    <n v="30.6"/>
    <n v="12.6"/>
    <n v="18"/>
    <x v="0"/>
  </r>
  <r>
    <n v="23034"/>
    <x v="0"/>
    <n v="2020"/>
    <n v="2"/>
    <n v="24"/>
    <x v="54"/>
    <x v="1"/>
    <n v="0"/>
    <n v="28.9"/>
    <n v="19.7"/>
    <n v="9.1999999999999993"/>
    <x v="0"/>
  </r>
  <r>
    <n v="23034"/>
    <x v="0"/>
    <n v="2020"/>
    <n v="2"/>
    <n v="25"/>
    <x v="55"/>
    <x v="1"/>
    <n v="0"/>
    <n v="25.3"/>
    <n v="18.2"/>
    <n v="7.1000000000000014"/>
    <x v="0"/>
  </r>
  <r>
    <n v="23034"/>
    <x v="0"/>
    <n v="2020"/>
    <n v="2"/>
    <n v="26"/>
    <x v="56"/>
    <x v="1"/>
    <n v="0"/>
    <n v="23.1"/>
    <n v="16.7"/>
    <n v="6.4000000000000021"/>
    <x v="0"/>
  </r>
  <r>
    <n v="23034"/>
    <x v="0"/>
    <n v="2020"/>
    <n v="2"/>
    <n v="27"/>
    <x v="57"/>
    <x v="1"/>
    <n v="0.4"/>
    <n v="20.9"/>
    <n v="12.2"/>
    <n v="8.6999999999999993"/>
    <x v="0"/>
  </r>
  <r>
    <n v="23034"/>
    <x v="0"/>
    <n v="2020"/>
    <n v="2"/>
    <n v="28"/>
    <x v="58"/>
    <x v="1"/>
    <n v="0.4"/>
    <n v="22.3"/>
    <n v="15.6"/>
    <n v="6.7000000000000011"/>
    <x v="0"/>
  </r>
  <r>
    <n v="23034"/>
    <x v="0"/>
    <n v="2020"/>
    <n v="2"/>
    <n v="29"/>
    <x v="59"/>
    <x v="1"/>
    <n v="0"/>
    <n v="23.3"/>
    <n v="12.7"/>
    <n v="10.600000000000001"/>
    <x v="0"/>
  </r>
  <r>
    <n v="23034"/>
    <x v="0"/>
    <n v="2020"/>
    <n v="3"/>
    <n v="1"/>
    <x v="60"/>
    <x v="2"/>
    <n v="0"/>
    <n v="27.2"/>
    <n v="15"/>
    <n v="12.2"/>
    <x v="0"/>
  </r>
  <r>
    <n v="23034"/>
    <x v="0"/>
    <n v="2020"/>
    <n v="3"/>
    <n v="2"/>
    <x v="61"/>
    <x v="2"/>
    <n v="1.6"/>
    <n v="22.4"/>
    <n v="14.3"/>
    <n v="8.0999999999999979"/>
    <x v="0"/>
  </r>
  <r>
    <n v="23034"/>
    <x v="0"/>
    <n v="2020"/>
    <n v="3"/>
    <n v="3"/>
    <x v="62"/>
    <x v="2"/>
    <n v="0"/>
    <n v="20.100000000000001"/>
    <n v="13"/>
    <n v="7.1000000000000014"/>
    <x v="0"/>
  </r>
  <r>
    <n v="23034"/>
    <x v="0"/>
    <n v="2020"/>
    <n v="3"/>
    <n v="4"/>
    <x v="63"/>
    <x v="2"/>
    <n v="1.8"/>
    <n v="26.4"/>
    <n v="14"/>
    <n v="12.399999999999999"/>
    <x v="0"/>
  </r>
  <r>
    <n v="23034"/>
    <x v="0"/>
    <n v="2020"/>
    <n v="3"/>
    <n v="5"/>
    <x v="64"/>
    <x v="2"/>
    <n v="0.2"/>
    <n v="21.9"/>
    <n v="14.3"/>
    <n v="7.5999999999999979"/>
    <x v="0"/>
  </r>
  <r>
    <n v="23034"/>
    <x v="0"/>
    <n v="2020"/>
    <n v="3"/>
    <n v="6"/>
    <x v="65"/>
    <x v="2"/>
    <n v="0"/>
    <n v="23.4"/>
    <n v="15.8"/>
    <n v="7.5999999999999979"/>
    <x v="0"/>
  </r>
  <r>
    <n v="23034"/>
    <x v="0"/>
    <n v="2020"/>
    <n v="3"/>
    <n v="7"/>
    <x v="66"/>
    <x v="2"/>
    <n v="0"/>
    <n v="25.6"/>
    <n v="14.5"/>
    <n v="11.100000000000001"/>
    <x v="0"/>
  </r>
  <r>
    <n v="23034"/>
    <x v="0"/>
    <n v="2020"/>
    <n v="3"/>
    <n v="8"/>
    <x v="67"/>
    <x v="2"/>
    <n v="0"/>
    <n v="25.8"/>
    <n v="14.1"/>
    <n v="11.700000000000001"/>
    <x v="0"/>
  </r>
  <r>
    <n v="23034"/>
    <x v="0"/>
    <n v="2020"/>
    <n v="3"/>
    <n v="9"/>
    <x v="68"/>
    <x v="2"/>
    <n v="0"/>
    <n v="25.9"/>
    <n v="14.8"/>
    <n v="11.099999999999998"/>
    <x v="0"/>
  </r>
  <r>
    <n v="23034"/>
    <x v="0"/>
    <n v="2020"/>
    <n v="3"/>
    <n v="10"/>
    <x v="69"/>
    <x v="2"/>
    <n v="0"/>
    <n v="26"/>
    <n v="15.3"/>
    <n v="10.7"/>
    <x v="0"/>
  </r>
  <r>
    <n v="23034"/>
    <x v="0"/>
    <n v="2020"/>
    <n v="3"/>
    <n v="11"/>
    <x v="70"/>
    <x v="2"/>
    <n v="0"/>
    <n v="30.5"/>
    <n v="15.2"/>
    <n v="15.3"/>
    <x v="0"/>
  </r>
  <r>
    <n v="23034"/>
    <x v="0"/>
    <n v="2020"/>
    <n v="3"/>
    <n v="12"/>
    <x v="71"/>
    <x v="2"/>
    <n v="0"/>
    <n v="30.8"/>
    <n v="20.8"/>
    <n v="10"/>
    <x v="0"/>
  </r>
  <r>
    <n v="23034"/>
    <x v="0"/>
    <n v="2020"/>
    <n v="3"/>
    <n v="13"/>
    <x v="72"/>
    <x v="2"/>
    <n v="1"/>
    <n v="22.5"/>
    <n v="19.399999999999999"/>
    <n v="3.1000000000000014"/>
    <x v="0"/>
  </r>
  <r>
    <n v="23034"/>
    <x v="0"/>
    <n v="2020"/>
    <n v="3"/>
    <n v="14"/>
    <x v="73"/>
    <x v="2"/>
    <n v="0"/>
    <n v="21.3"/>
    <n v="12.1"/>
    <n v="9.2000000000000011"/>
    <x v="0"/>
  </r>
  <r>
    <n v="23034"/>
    <x v="0"/>
    <n v="2020"/>
    <n v="3"/>
    <n v="15"/>
    <x v="74"/>
    <x v="2"/>
    <n v="0"/>
    <n v="24.1"/>
    <n v="10.5"/>
    <n v="13.600000000000001"/>
    <x v="0"/>
  </r>
  <r>
    <n v="23034"/>
    <x v="0"/>
    <n v="2020"/>
    <n v="3"/>
    <n v="16"/>
    <x v="75"/>
    <x v="2"/>
    <n v="0"/>
    <n v="29.1"/>
    <n v="13.3"/>
    <n v="15.8"/>
    <x v="0"/>
  </r>
  <r>
    <n v="23034"/>
    <x v="0"/>
    <n v="2020"/>
    <n v="3"/>
    <n v="17"/>
    <x v="76"/>
    <x v="2"/>
    <n v="0"/>
    <n v="31.7"/>
    <n v="19.399999999999999"/>
    <n v="12.3"/>
    <x v="0"/>
  </r>
  <r>
    <n v="23034"/>
    <x v="0"/>
    <n v="2020"/>
    <n v="3"/>
    <n v="18"/>
    <x v="77"/>
    <x v="2"/>
    <n v="0"/>
    <n v="34.4"/>
    <n v="19.5"/>
    <n v="14.899999999999999"/>
    <x v="0"/>
  </r>
  <r>
    <n v="23034"/>
    <x v="0"/>
    <n v="2020"/>
    <n v="3"/>
    <n v="19"/>
    <x v="78"/>
    <x v="2"/>
    <n v="0"/>
    <n v="31"/>
    <n v="24.5"/>
    <n v="6.5"/>
    <x v="0"/>
  </r>
  <r>
    <n v="23034"/>
    <x v="0"/>
    <n v="2020"/>
    <n v="3"/>
    <n v="20"/>
    <x v="79"/>
    <x v="2"/>
    <n v="0"/>
    <n v="22.6"/>
    <n v="17.8"/>
    <n v="4.8000000000000007"/>
    <x v="0"/>
  </r>
  <r>
    <n v="23034"/>
    <x v="0"/>
    <n v="2020"/>
    <n v="3"/>
    <n v="21"/>
    <x v="80"/>
    <x v="2"/>
    <n v="0"/>
    <n v="21.4"/>
    <n v="11.2"/>
    <n v="10.199999999999999"/>
    <x v="0"/>
  </r>
  <r>
    <n v="23034"/>
    <x v="0"/>
    <n v="2020"/>
    <n v="3"/>
    <n v="22"/>
    <x v="81"/>
    <x v="2"/>
    <n v="0"/>
    <n v="23.7"/>
    <n v="13.4"/>
    <n v="10.299999999999999"/>
    <x v="0"/>
  </r>
  <r>
    <n v="23034"/>
    <x v="0"/>
    <n v="2020"/>
    <n v="3"/>
    <n v="23"/>
    <x v="82"/>
    <x v="2"/>
    <n v="0"/>
    <n v="21.4"/>
    <n v="12.7"/>
    <n v="8.6999999999999993"/>
    <x v="0"/>
  </r>
  <r>
    <n v="23034"/>
    <x v="0"/>
    <n v="2020"/>
    <n v="3"/>
    <n v="24"/>
    <x v="83"/>
    <x v="2"/>
    <n v="0"/>
    <n v="20.5"/>
    <n v="14.7"/>
    <n v="5.8000000000000007"/>
    <x v="0"/>
  </r>
  <r>
    <n v="23034"/>
    <x v="0"/>
    <n v="2020"/>
    <n v="3"/>
    <n v="25"/>
    <x v="84"/>
    <x v="2"/>
    <n v="0"/>
    <n v="21.9"/>
    <n v="12.9"/>
    <n v="8.9999999999999982"/>
    <x v="0"/>
  </r>
  <r>
    <n v="23034"/>
    <x v="0"/>
    <n v="2020"/>
    <n v="3"/>
    <n v="26"/>
    <x v="85"/>
    <x v="2"/>
    <n v="0"/>
    <n v="21.3"/>
    <n v="10.9"/>
    <n v="10.4"/>
    <x v="0"/>
  </r>
  <r>
    <n v="23034"/>
    <x v="0"/>
    <n v="2020"/>
    <n v="3"/>
    <n v="27"/>
    <x v="86"/>
    <x v="2"/>
    <n v="0"/>
    <n v="24.8"/>
    <n v="9.4"/>
    <n v="15.4"/>
    <x v="0"/>
  </r>
  <r>
    <n v="23034"/>
    <x v="0"/>
    <n v="2020"/>
    <n v="3"/>
    <n v="28"/>
    <x v="87"/>
    <x v="2"/>
    <n v="0"/>
    <n v="29.5"/>
    <n v="12.7"/>
    <n v="16.8"/>
    <x v="0"/>
  </r>
  <r>
    <n v="23034"/>
    <x v="0"/>
    <n v="2020"/>
    <n v="3"/>
    <n v="29"/>
    <x v="88"/>
    <x v="2"/>
    <n v="0"/>
    <n v="22.7"/>
    <n v="18.7"/>
    <n v="4"/>
    <x v="0"/>
  </r>
  <r>
    <n v="23034"/>
    <x v="0"/>
    <n v="2020"/>
    <n v="3"/>
    <n v="30"/>
    <x v="89"/>
    <x v="2"/>
    <n v="0.2"/>
    <n v="21.8"/>
    <n v="17.2"/>
    <n v="4.6000000000000014"/>
    <x v="0"/>
  </r>
  <r>
    <n v="23034"/>
    <x v="0"/>
    <n v="2020"/>
    <n v="3"/>
    <n v="31"/>
    <x v="90"/>
    <x v="2"/>
    <n v="0"/>
    <n v="21.2"/>
    <n v="12.7"/>
    <n v="8.5"/>
    <x v="0"/>
  </r>
  <r>
    <n v="23034"/>
    <x v="0"/>
    <n v="2020"/>
    <n v="4"/>
    <n v="1"/>
    <x v="91"/>
    <x v="3"/>
    <n v="0"/>
    <n v="23.3"/>
    <n v="16"/>
    <n v="7.3000000000000007"/>
    <x v="0"/>
  </r>
  <r>
    <n v="23034"/>
    <x v="0"/>
    <n v="2020"/>
    <n v="4"/>
    <n v="2"/>
    <x v="92"/>
    <x v="3"/>
    <n v="0"/>
    <n v="23.2"/>
    <n v="10.9"/>
    <n v="12.299999999999999"/>
    <x v="0"/>
  </r>
  <r>
    <n v="23034"/>
    <x v="0"/>
    <n v="2020"/>
    <n v="4"/>
    <n v="3"/>
    <x v="93"/>
    <x v="3"/>
    <n v="0"/>
    <n v="23.8"/>
    <n v="13.4"/>
    <n v="10.4"/>
    <x v="0"/>
  </r>
  <r>
    <n v="23034"/>
    <x v="0"/>
    <n v="2020"/>
    <n v="4"/>
    <n v="4"/>
    <x v="94"/>
    <x v="3"/>
    <n v="13.6"/>
    <n v="18.7"/>
    <n v="13.4"/>
    <n v="5.2999999999999989"/>
    <x v="0"/>
  </r>
  <r>
    <n v="23034"/>
    <x v="0"/>
    <n v="2020"/>
    <n v="4"/>
    <n v="5"/>
    <x v="95"/>
    <x v="3"/>
    <n v="0.4"/>
    <n v="20.6"/>
    <n v="14.3"/>
    <n v="6.3000000000000007"/>
    <x v="0"/>
  </r>
  <r>
    <n v="23034"/>
    <x v="0"/>
    <n v="2020"/>
    <n v="4"/>
    <n v="6"/>
    <x v="96"/>
    <x v="3"/>
    <n v="3"/>
    <n v="19.7"/>
    <n v="11.9"/>
    <n v="7.7999999999999989"/>
    <x v="0"/>
  </r>
  <r>
    <n v="23034"/>
    <x v="0"/>
    <n v="2020"/>
    <n v="4"/>
    <n v="7"/>
    <x v="97"/>
    <x v="3"/>
    <n v="0"/>
    <n v="21.4"/>
    <n v="14.3"/>
    <n v="7.0999999999999979"/>
    <x v="0"/>
  </r>
  <r>
    <n v="23034"/>
    <x v="0"/>
    <n v="2020"/>
    <n v="4"/>
    <n v="8"/>
    <x v="98"/>
    <x v="3"/>
    <n v="0"/>
    <n v="21.2"/>
    <n v="12.4"/>
    <n v="8.7999999999999989"/>
    <x v="0"/>
  </r>
  <r>
    <n v="23034"/>
    <x v="0"/>
    <n v="2020"/>
    <n v="4"/>
    <n v="9"/>
    <x v="99"/>
    <x v="3"/>
    <n v="0"/>
    <n v="19.899999999999999"/>
    <n v="9.6"/>
    <n v="10.299999999999999"/>
    <x v="0"/>
  </r>
  <r>
    <n v="23034"/>
    <x v="0"/>
    <n v="2020"/>
    <n v="4"/>
    <n v="10"/>
    <x v="100"/>
    <x v="3"/>
    <n v="0"/>
    <n v="22.3"/>
    <n v="11.7"/>
    <n v="10.600000000000001"/>
    <x v="0"/>
  </r>
  <r>
    <n v="23034"/>
    <x v="0"/>
    <n v="2020"/>
    <n v="4"/>
    <n v="11"/>
    <x v="101"/>
    <x v="3"/>
    <n v="0"/>
    <n v="19.7"/>
    <n v="15.9"/>
    <n v="3.7999999999999989"/>
    <x v="0"/>
  </r>
  <r>
    <n v="23034"/>
    <x v="0"/>
    <n v="2020"/>
    <n v="4"/>
    <n v="12"/>
    <x v="102"/>
    <x v="3"/>
    <n v="0"/>
    <n v="17.899999999999999"/>
    <n v="9.9"/>
    <n v="7.9999999999999982"/>
    <x v="0"/>
  </r>
  <r>
    <n v="23034"/>
    <x v="0"/>
    <n v="2020"/>
    <n v="4"/>
    <n v="13"/>
    <x v="103"/>
    <x v="3"/>
    <n v="0"/>
    <n v="22.8"/>
    <n v="6.6"/>
    <n v="16.200000000000003"/>
    <x v="0"/>
  </r>
  <r>
    <n v="23034"/>
    <x v="0"/>
    <n v="2020"/>
    <n v="4"/>
    <n v="14"/>
    <x v="104"/>
    <x v="3"/>
    <n v="0"/>
    <n v="27.8"/>
    <n v="12.5"/>
    <n v="15.3"/>
    <x v="0"/>
  </r>
  <r>
    <n v="23034"/>
    <x v="0"/>
    <n v="2020"/>
    <n v="4"/>
    <n v="15"/>
    <x v="105"/>
    <x v="3"/>
    <n v="0"/>
    <n v="28.6"/>
    <n v="16.100000000000001"/>
    <n v="12.5"/>
    <x v="0"/>
  </r>
  <r>
    <n v="23034"/>
    <x v="0"/>
    <n v="2020"/>
    <n v="4"/>
    <n v="16"/>
    <x v="106"/>
    <x v="3"/>
    <n v="0"/>
    <n v="20.6"/>
    <n v="16.899999999999999"/>
    <n v="3.7000000000000028"/>
    <x v="0"/>
  </r>
  <r>
    <n v="23034"/>
    <x v="0"/>
    <n v="2020"/>
    <n v="4"/>
    <n v="17"/>
    <x v="107"/>
    <x v="3"/>
    <n v="0"/>
    <n v="19.600000000000001"/>
    <n v="14.6"/>
    <n v="5.0000000000000018"/>
    <x v="0"/>
  </r>
  <r>
    <n v="23034"/>
    <x v="0"/>
    <n v="2020"/>
    <n v="4"/>
    <n v="18"/>
    <x v="108"/>
    <x v="3"/>
    <n v="4.5999999999999996"/>
    <n v="18.2"/>
    <n v="12.5"/>
    <n v="5.6999999999999993"/>
    <x v="0"/>
  </r>
  <r>
    <n v="23034"/>
    <x v="0"/>
    <n v="2020"/>
    <n v="4"/>
    <n v="19"/>
    <x v="109"/>
    <x v="3"/>
    <n v="6"/>
    <n v="22.4"/>
    <n v="9.5"/>
    <n v="12.899999999999999"/>
    <x v="0"/>
  </r>
  <r>
    <n v="23034"/>
    <x v="0"/>
    <n v="2020"/>
    <n v="4"/>
    <n v="20"/>
    <x v="110"/>
    <x v="3"/>
    <n v="0"/>
    <n v="19.399999999999999"/>
    <n v="14.3"/>
    <n v="5.0999999999999979"/>
    <x v="0"/>
  </r>
  <r>
    <n v="23034"/>
    <x v="0"/>
    <n v="2020"/>
    <n v="4"/>
    <n v="21"/>
    <x v="111"/>
    <x v="3"/>
    <n v="0"/>
    <n v="22.9"/>
    <n v="12"/>
    <n v="10.899999999999999"/>
    <x v="0"/>
  </r>
  <r>
    <n v="23034"/>
    <x v="0"/>
    <n v="2020"/>
    <n v="4"/>
    <n v="22"/>
    <x v="112"/>
    <x v="3"/>
    <n v="0"/>
    <n v="22.8"/>
    <n v="12"/>
    <n v="10.8"/>
    <x v="0"/>
  </r>
  <r>
    <n v="23034"/>
    <x v="0"/>
    <n v="2020"/>
    <n v="4"/>
    <n v="23"/>
    <x v="113"/>
    <x v="3"/>
    <n v="0"/>
    <n v="20.100000000000001"/>
    <n v="12.6"/>
    <n v="7.5000000000000018"/>
    <x v="0"/>
  </r>
  <r>
    <n v="23034"/>
    <x v="0"/>
    <n v="2020"/>
    <n v="4"/>
    <n v="24"/>
    <x v="114"/>
    <x v="3"/>
    <n v="10.199999999999999"/>
    <n v="21.6"/>
    <n v="14"/>
    <n v="7.6000000000000014"/>
    <x v="0"/>
  </r>
  <r>
    <n v="23034"/>
    <x v="0"/>
    <n v="2020"/>
    <n v="4"/>
    <n v="25"/>
    <x v="115"/>
    <x v="3"/>
    <n v="0"/>
    <n v="23.6"/>
    <n v="12.6"/>
    <n v="11.000000000000002"/>
    <x v="0"/>
  </r>
  <r>
    <n v="23034"/>
    <x v="0"/>
    <n v="2020"/>
    <n v="4"/>
    <n v="26"/>
    <x v="116"/>
    <x v="3"/>
    <n v="26.6"/>
    <n v="19.100000000000001"/>
    <n v="16.2"/>
    <n v="2.9000000000000021"/>
    <x v="2"/>
  </r>
  <r>
    <n v="23034"/>
    <x v="0"/>
    <n v="2020"/>
    <n v="4"/>
    <n v="27"/>
    <x v="117"/>
    <x v="3"/>
    <n v="0"/>
    <n v="19"/>
    <n v="11.1"/>
    <n v="7.9"/>
    <x v="0"/>
  </r>
  <r>
    <n v="23034"/>
    <x v="0"/>
    <n v="2020"/>
    <n v="4"/>
    <n v="28"/>
    <x v="118"/>
    <x v="3"/>
    <n v="0"/>
    <n v="19.8"/>
    <n v="12.1"/>
    <n v="7.7000000000000011"/>
    <x v="0"/>
  </r>
  <r>
    <n v="23034"/>
    <x v="0"/>
    <n v="2020"/>
    <n v="4"/>
    <n v="29"/>
    <x v="119"/>
    <x v="3"/>
    <n v="7.8"/>
    <n v="16.7"/>
    <n v="12.2"/>
    <n v="4.5"/>
    <x v="0"/>
  </r>
  <r>
    <n v="23034"/>
    <x v="0"/>
    <n v="2020"/>
    <n v="4"/>
    <n v="30"/>
    <x v="120"/>
    <x v="3"/>
    <n v="16"/>
    <n v="15.7"/>
    <n v="8.9"/>
    <n v="6.7999999999999989"/>
    <x v="0"/>
  </r>
  <r>
    <n v="23034"/>
    <x v="0"/>
    <n v="2020"/>
    <n v="5"/>
    <n v="1"/>
    <x v="121"/>
    <x v="4"/>
    <n v="2"/>
    <n v="17.600000000000001"/>
    <n v="11"/>
    <n v="6.6000000000000014"/>
    <x v="0"/>
  </r>
  <r>
    <n v="23034"/>
    <x v="0"/>
    <n v="2020"/>
    <n v="5"/>
    <n v="2"/>
    <x v="122"/>
    <x v="4"/>
    <n v="3.4"/>
    <n v="17.5"/>
    <n v="13.4"/>
    <n v="4.0999999999999996"/>
    <x v="0"/>
  </r>
  <r>
    <n v="23034"/>
    <x v="0"/>
    <n v="2020"/>
    <n v="5"/>
    <n v="3"/>
    <x v="123"/>
    <x v="4"/>
    <n v="0.6"/>
    <n v="15.4"/>
    <n v="9.6999999999999993"/>
    <n v="5.7000000000000011"/>
    <x v="0"/>
  </r>
  <r>
    <n v="23034"/>
    <x v="0"/>
    <n v="2020"/>
    <n v="5"/>
    <n v="4"/>
    <x v="124"/>
    <x v="4"/>
    <n v="0"/>
    <n v="17.100000000000001"/>
    <n v="10.4"/>
    <n v="6.7000000000000011"/>
    <x v="0"/>
  </r>
  <r>
    <n v="23034"/>
    <x v="0"/>
    <n v="2020"/>
    <n v="5"/>
    <n v="5"/>
    <x v="125"/>
    <x v="4"/>
    <n v="0"/>
    <n v="19.2"/>
    <n v="8.1"/>
    <n v="11.1"/>
    <x v="0"/>
  </r>
  <r>
    <n v="23034"/>
    <x v="0"/>
    <n v="2020"/>
    <n v="5"/>
    <n v="6"/>
    <x v="126"/>
    <x v="4"/>
    <n v="0"/>
    <n v="20.9"/>
    <n v="9.1999999999999993"/>
    <n v="11.7"/>
    <x v="0"/>
  </r>
  <r>
    <n v="23034"/>
    <x v="0"/>
    <n v="2020"/>
    <n v="5"/>
    <n v="7"/>
    <x v="127"/>
    <x v="4"/>
    <n v="0"/>
    <n v="20.3"/>
    <n v="15"/>
    <n v="5.3000000000000007"/>
    <x v="0"/>
  </r>
  <r>
    <n v="23034"/>
    <x v="0"/>
    <n v="2020"/>
    <n v="5"/>
    <n v="8"/>
    <x v="128"/>
    <x v="4"/>
    <n v="1.8"/>
    <n v="18.600000000000001"/>
    <n v="13.1"/>
    <n v="5.5000000000000018"/>
    <x v="0"/>
  </r>
  <r>
    <n v="23034"/>
    <x v="0"/>
    <n v="2020"/>
    <n v="5"/>
    <n v="9"/>
    <x v="129"/>
    <x v="4"/>
    <n v="10.8"/>
    <n v="15.6"/>
    <n v="10.7"/>
    <n v="4.9000000000000004"/>
    <x v="0"/>
  </r>
  <r>
    <n v="23034"/>
    <x v="0"/>
    <n v="2020"/>
    <n v="5"/>
    <n v="10"/>
    <x v="130"/>
    <x v="4"/>
    <n v="0.4"/>
    <n v="16.3"/>
    <n v="8"/>
    <n v="8.3000000000000007"/>
    <x v="0"/>
  </r>
  <r>
    <n v="23034"/>
    <x v="0"/>
    <n v="2020"/>
    <n v="5"/>
    <n v="11"/>
    <x v="131"/>
    <x v="4"/>
    <n v="1.6"/>
    <n v="17.399999999999999"/>
    <n v="7.1"/>
    <n v="10.299999999999999"/>
    <x v="0"/>
  </r>
  <r>
    <n v="23034"/>
    <x v="0"/>
    <n v="2020"/>
    <n v="5"/>
    <n v="12"/>
    <x v="132"/>
    <x v="4"/>
    <n v="0"/>
    <n v="19"/>
    <n v="9"/>
    <n v="10"/>
    <x v="0"/>
  </r>
  <r>
    <n v="23034"/>
    <x v="0"/>
    <n v="2020"/>
    <n v="5"/>
    <n v="13"/>
    <x v="133"/>
    <x v="4"/>
    <n v="1"/>
    <n v="16.100000000000001"/>
    <n v="6.3"/>
    <n v="9.8000000000000007"/>
    <x v="0"/>
  </r>
  <r>
    <n v="23034"/>
    <x v="0"/>
    <n v="2020"/>
    <n v="5"/>
    <n v="14"/>
    <x v="134"/>
    <x v="4"/>
    <n v="0"/>
    <n v="14.8"/>
    <n v="9.5"/>
    <n v="5.3000000000000007"/>
    <x v="0"/>
  </r>
  <r>
    <n v="23034"/>
    <x v="0"/>
    <n v="2020"/>
    <n v="5"/>
    <n v="15"/>
    <x v="135"/>
    <x v="4"/>
    <n v="0"/>
    <n v="16.3"/>
    <n v="5.2"/>
    <n v="11.100000000000001"/>
    <x v="0"/>
  </r>
  <r>
    <n v="23034"/>
    <x v="0"/>
    <n v="2020"/>
    <n v="5"/>
    <n v="16"/>
    <x v="136"/>
    <x v="4"/>
    <n v="0"/>
    <n v="17.8"/>
    <n v="3.2"/>
    <n v="14.600000000000001"/>
    <x v="0"/>
  </r>
  <r>
    <n v="23034"/>
    <x v="0"/>
    <n v="2020"/>
    <n v="5"/>
    <n v="17"/>
    <x v="137"/>
    <x v="4"/>
    <n v="0"/>
    <n v="19.100000000000001"/>
    <n v="4.3"/>
    <n v="14.8"/>
    <x v="0"/>
  </r>
  <r>
    <n v="23034"/>
    <x v="0"/>
    <n v="2020"/>
    <n v="5"/>
    <n v="18"/>
    <x v="138"/>
    <x v="4"/>
    <n v="0"/>
    <n v="21.4"/>
    <n v="7.6"/>
    <n v="13.799999999999999"/>
    <x v="0"/>
  </r>
  <r>
    <n v="23034"/>
    <x v="0"/>
    <n v="2020"/>
    <n v="5"/>
    <n v="19"/>
    <x v="139"/>
    <x v="4"/>
    <n v="0"/>
    <n v="22.5"/>
    <n v="11.5"/>
    <n v="11"/>
    <x v="0"/>
  </r>
  <r>
    <n v="23034"/>
    <x v="0"/>
    <n v="2020"/>
    <n v="5"/>
    <n v="20"/>
    <x v="140"/>
    <x v="4"/>
    <n v="1.2"/>
    <n v="15.3"/>
    <n v="12.2"/>
    <n v="3.1000000000000014"/>
    <x v="0"/>
  </r>
  <r>
    <n v="23034"/>
    <x v="0"/>
    <n v="2020"/>
    <n v="5"/>
    <n v="21"/>
    <x v="141"/>
    <x v="4"/>
    <n v="5.2"/>
    <n v="14.3"/>
    <n v="7.7"/>
    <n v="6.6000000000000005"/>
    <x v="0"/>
  </r>
  <r>
    <n v="23034"/>
    <x v="0"/>
    <n v="2020"/>
    <n v="5"/>
    <n v="22"/>
    <x v="142"/>
    <x v="4"/>
    <n v="4.2"/>
    <n v="15.4"/>
    <n v="10.1"/>
    <n v="5.3000000000000007"/>
    <x v="0"/>
  </r>
  <r>
    <n v="23034"/>
    <x v="0"/>
    <n v="2020"/>
    <n v="5"/>
    <n v="23"/>
    <x v="143"/>
    <x v="4"/>
    <n v="5.6"/>
    <n v="16.100000000000001"/>
    <n v="10.3"/>
    <n v="5.8000000000000007"/>
    <x v="0"/>
  </r>
  <r>
    <n v="23034"/>
    <x v="0"/>
    <n v="2020"/>
    <n v="5"/>
    <n v="24"/>
    <x v="144"/>
    <x v="4"/>
    <n v="0"/>
    <n v="14.3"/>
    <n v="10.9"/>
    <n v="3.4000000000000004"/>
    <x v="0"/>
  </r>
  <r>
    <n v="23034"/>
    <x v="0"/>
    <n v="2020"/>
    <n v="5"/>
    <n v="25"/>
    <x v="145"/>
    <x v="4"/>
    <n v="0"/>
    <n v="14.5"/>
    <n v="4.9000000000000004"/>
    <n v="9.6"/>
    <x v="0"/>
  </r>
  <r>
    <n v="23034"/>
    <x v="0"/>
    <n v="2020"/>
    <n v="5"/>
    <n v="26"/>
    <x v="146"/>
    <x v="4"/>
    <n v="0"/>
    <n v="16.8"/>
    <n v="6.8"/>
    <n v="10"/>
    <x v="0"/>
  </r>
  <r>
    <n v="23034"/>
    <x v="0"/>
    <n v="2020"/>
    <n v="5"/>
    <n v="27"/>
    <x v="147"/>
    <x v="4"/>
    <n v="0"/>
    <n v="17.399999999999999"/>
    <n v="9.9"/>
    <n v="7.4999999999999982"/>
    <x v="0"/>
  </r>
  <r>
    <n v="23034"/>
    <x v="0"/>
    <n v="2020"/>
    <n v="5"/>
    <n v="28"/>
    <x v="148"/>
    <x v="4"/>
    <n v="0.6"/>
    <n v="16.8"/>
    <n v="10.5"/>
    <n v="6.3000000000000007"/>
    <x v="0"/>
  </r>
  <r>
    <n v="23034"/>
    <x v="0"/>
    <n v="2020"/>
    <n v="5"/>
    <n v="29"/>
    <x v="149"/>
    <x v="4"/>
    <n v="0"/>
    <n v="19.399999999999999"/>
    <n v="5.3"/>
    <n v="14.099999999999998"/>
    <x v="0"/>
  </r>
  <r>
    <n v="23034"/>
    <x v="0"/>
    <n v="2020"/>
    <n v="5"/>
    <n v="30"/>
    <x v="150"/>
    <x v="4"/>
    <n v="0"/>
    <n v="19.600000000000001"/>
    <n v="10.7"/>
    <n v="8.9000000000000021"/>
    <x v="0"/>
  </r>
  <r>
    <n v="23034"/>
    <x v="0"/>
    <n v="2020"/>
    <n v="5"/>
    <n v="31"/>
    <x v="151"/>
    <x v="4"/>
    <n v="2.4"/>
    <n v="15.1"/>
    <n v="11.7"/>
    <n v="3.4000000000000004"/>
    <x v="0"/>
  </r>
  <r>
    <n v="23034"/>
    <x v="0"/>
    <n v="2020"/>
    <n v="6"/>
    <n v="1"/>
    <x v="152"/>
    <x v="5"/>
    <n v="10.6"/>
    <n v="14.6"/>
    <n v="10.6"/>
    <n v="4"/>
    <x v="0"/>
  </r>
  <r>
    <n v="23034"/>
    <x v="0"/>
    <n v="2020"/>
    <n v="6"/>
    <n v="2"/>
    <x v="153"/>
    <x v="5"/>
    <n v="1.2"/>
    <n v="16.399999999999999"/>
    <n v="11.5"/>
    <n v="4.8999999999999986"/>
    <x v="0"/>
  </r>
  <r>
    <n v="23034"/>
    <x v="0"/>
    <n v="2020"/>
    <n v="6"/>
    <n v="3"/>
    <x v="154"/>
    <x v="5"/>
    <n v="0.8"/>
    <n v="15.9"/>
    <n v="12.2"/>
    <n v="3.7000000000000011"/>
    <x v="0"/>
  </r>
  <r>
    <n v="23034"/>
    <x v="0"/>
    <n v="2020"/>
    <n v="6"/>
    <n v="4"/>
    <x v="155"/>
    <x v="5"/>
    <n v="0"/>
    <n v="15"/>
    <n v="2.8"/>
    <n v="12.2"/>
    <x v="0"/>
  </r>
  <r>
    <n v="23034"/>
    <x v="0"/>
    <n v="2020"/>
    <n v="6"/>
    <n v="5"/>
    <x v="156"/>
    <x v="5"/>
    <n v="0"/>
    <n v="15"/>
    <n v="2.5"/>
    <n v="12.5"/>
    <x v="0"/>
  </r>
  <r>
    <n v="23034"/>
    <x v="0"/>
    <n v="2020"/>
    <n v="6"/>
    <n v="6"/>
    <x v="157"/>
    <x v="5"/>
    <n v="0"/>
    <n v="14.2"/>
    <n v="4"/>
    <n v="10.199999999999999"/>
    <x v="0"/>
  </r>
  <r>
    <n v="23034"/>
    <x v="0"/>
    <n v="2020"/>
    <n v="6"/>
    <n v="7"/>
    <x v="158"/>
    <x v="5"/>
    <n v="0"/>
    <n v="13.9"/>
    <n v="2.9"/>
    <n v="11"/>
    <x v="0"/>
  </r>
  <r>
    <n v="23034"/>
    <x v="0"/>
    <n v="2020"/>
    <n v="6"/>
    <n v="8"/>
    <x v="159"/>
    <x v="5"/>
    <n v="0"/>
    <n v="13.9"/>
    <n v="1.1000000000000001"/>
    <n v="12.8"/>
    <x v="0"/>
  </r>
  <r>
    <n v="23034"/>
    <x v="0"/>
    <n v="2020"/>
    <n v="6"/>
    <n v="9"/>
    <x v="160"/>
    <x v="5"/>
    <n v="0"/>
    <n v="14.6"/>
    <n v="0.7"/>
    <n v="13.9"/>
    <x v="0"/>
  </r>
  <r>
    <n v="23034"/>
    <x v="0"/>
    <n v="2020"/>
    <n v="6"/>
    <n v="10"/>
    <x v="161"/>
    <x v="5"/>
    <n v="0"/>
    <n v="14.3"/>
    <n v="-0.4"/>
    <n v="14.700000000000001"/>
    <x v="0"/>
  </r>
  <r>
    <n v="23034"/>
    <x v="0"/>
    <n v="2020"/>
    <n v="6"/>
    <n v="11"/>
    <x v="162"/>
    <x v="5"/>
    <n v="0"/>
    <n v="15.5"/>
    <n v="0"/>
    <n v="15.5"/>
    <x v="0"/>
  </r>
  <r>
    <n v="23034"/>
    <x v="0"/>
    <n v="2020"/>
    <n v="6"/>
    <n v="12"/>
    <x v="163"/>
    <x v="5"/>
    <n v="0.2"/>
    <n v="20.100000000000001"/>
    <n v="2.4"/>
    <n v="17.700000000000003"/>
    <x v="0"/>
  </r>
  <r>
    <n v="23034"/>
    <x v="0"/>
    <n v="2020"/>
    <n v="6"/>
    <n v="13"/>
    <x v="164"/>
    <x v="5"/>
    <n v="0.8"/>
    <n v="14.9"/>
    <n v="10.4"/>
    <n v="4.5"/>
    <x v="0"/>
  </r>
  <r>
    <n v="23034"/>
    <x v="0"/>
    <n v="2020"/>
    <n v="6"/>
    <n v="14"/>
    <x v="165"/>
    <x v="5"/>
    <n v="4.5999999999999996"/>
    <n v="15.6"/>
    <n v="8.6"/>
    <n v="7"/>
    <x v="0"/>
  </r>
  <r>
    <n v="23034"/>
    <x v="0"/>
    <n v="2020"/>
    <n v="6"/>
    <n v="15"/>
    <x v="166"/>
    <x v="5"/>
    <n v="3.8"/>
    <n v="17.399999999999999"/>
    <n v="9.9"/>
    <n v="7.4999999999999982"/>
    <x v="0"/>
  </r>
  <r>
    <n v="23034"/>
    <x v="0"/>
    <n v="2020"/>
    <n v="6"/>
    <n v="16"/>
    <x v="167"/>
    <x v="5"/>
    <n v="1.6"/>
    <n v="16.399999999999999"/>
    <n v="12.7"/>
    <n v="3.6999999999999993"/>
    <x v="0"/>
  </r>
  <r>
    <n v="23034"/>
    <x v="0"/>
    <n v="2020"/>
    <n v="6"/>
    <n v="17"/>
    <x v="168"/>
    <x v="5"/>
    <n v="4"/>
    <n v="16.7"/>
    <n v="8.1"/>
    <n v="8.6"/>
    <x v="0"/>
  </r>
  <r>
    <n v="23034"/>
    <x v="0"/>
    <n v="2020"/>
    <n v="6"/>
    <n v="18"/>
    <x v="169"/>
    <x v="5"/>
    <n v="0"/>
    <n v="19.2"/>
    <n v="10"/>
    <n v="9.1999999999999993"/>
    <x v="0"/>
  </r>
  <r>
    <n v="23034"/>
    <x v="0"/>
    <n v="2020"/>
    <n v="6"/>
    <n v="19"/>
    <x v="170"/>
    <x v="5"/>
    <n v="0"/>
    <n v="15.9"/>
    <n v="12.3"/>
    <n v="3.5999999999999996"/>
    <x v="0"/>
  </r>
  <r>
    <n v="23034"/>
    <x v="0"/>
    <n v="2020"/>
    <n v="6"/>
    <n v="20"/>
    <x v="171"/>
    <x v="5"/>
    <n v="1.6"/>
    <n v="15.2"/>
    <n v="10.4"/>
    <n v="4.7999999999999989"/>
    <x v="0"/>
  </r>
  <r>
    <n v="23034"/>
    <x v="0"/>
    <n v="2020"/>
    <n v="6"/>
    <n v="21"/>
    <x v="172"/>
    <x v="5"/>
    <n v="11.6"/>
    <n v="14.5"/>
    <n v="9.6999999999999993"/>
    <n v="4.8000000000000007"/>
    <x v="0"/>
  </r>
  <r>
    <n v="23034"/>
    <x v="0"/>
    <n v="2020"/>
    <n v="6"/>
    <n v="22"/>
    <x v="173"/>
    <x v="5"/>
    <n v="4"/>
    <n v="14.9"/>
    <n v="8.4"/>
    <n v="6.5"/>
    <x v="0"/>
  </r>
  <r>
    <n v="23034"/>
    <x v="0"/>
    <n v="2020"/>
    <n v="6"/>
    <n v="23"/>
    <x v="174"/>
    <x v="5"/>
    <n v="1.2"/>
    <n v="13.9"/>
    <n v="11.1"/>
    <n v="2.8000000000000007"/>
    <x v="0"/>
  </r>
  <r>
    <n v="23034"/>
    <x v="0"/>
    <n v="2020"/>
    <n v="6"/>
    <n v="24"/>
    <x v="175"/>
    <x v="5"/>
    <n v="1.2"/>
    <n v="14.8"/>
    <n v="10.9"/>
    <n v="3.9000000000000004"/>
    <x v="0"/>
  </r>
  <r>
    <n v="23034"/>
    <x v="0"/>
    <n v="2020"/>
    <n v="6"/>
    <n v="25"/>
    <x v="176"/>
    <x v="5"/>
    <n v="0"/>
    <n v="16.600000000000001"/>
    <n v="6.7"/>
    <n v="9.9000000000000021"/>
    <x v="0"/>
  </r>
  <r>
    <n v="23034"/>
    <x v="0"/>
    <n v="2020"/>
    <n v="6"/>
    <n v="26"/>
    <x v="177"/>
    <x v="5"/>
    <n v="0.8"/>
    <n v="15.5"/>
    <n v="7.4"/>
    <n v="8.1"/>
    <x v="0"/>
  </r>
  <r>
    <n v="23034"/>
    <x v="0"/>
    <n v="2020"/>
    <n v="6"/>
    <n v="27"/>
    <x v="178"/>
    <x v="5"/>
    <n v="0"/>
    <n v="16.8"/>
    <n v="4"/>
    <n v="12.8"/>
    <x v="0"/>
  </r>
  <r>
    <n v="23034"/>
    <x v="0"/>
    <n v="2020"/>
    <n v="6"/>
    <n v="28"/>
    <x v="179"/>
    <x v="5"/>
    <n v="0"/>
    <n v="16.5"/>
    <n v="3.5"/>
    <n v="13"/>
    <x v="0"/>
  </r>
  <r>
    <n v="23034"/>
    <x v="0"/>
    <n v="2020"/>
    <n v="6"/>
    <n v="29"/>
    <x v="180"/>
    <x v="5"/>
    <n v="0"/>
    <n v="14.6"/>
    <n v="2.6"/>
    <n v="12"/>
    <x v="0"/>
  </r>
  <r>
    <n v="23034"/>
    <x v="0"/>
    <n v="2020"/>
    <n v="6"/>
    <n v="30"/>
    <x v="181"/>
    <x v="5"/>
    <n v="0"/>
    <n v="15.7"/>
    <n v="8.1"/>
    <n v="7.6"/>
    <x v="0"/>
  </r>
  <r>
    <n v="23034"/>
    <x v="0"/>
    <n v="2020"/>
    <n v="7"/>
    <n v="1"/>
    <x v="182"/>
    <x v="6"/>
    <n v="0"/>
    <n v="19.7"/>
    <n v="8.1"/>
    <n v="11.6"/>
    <x v="0"/>
  </r>
  <r>
    <n v="23034"/>
    <x v="0"/>
    <n v="2020"/>
    <n v="7"/>
    <n v="2"/>
    <x v="183"/>
    <x v="6"/>
    <n v="4.5999999999999996"/>
    <n v="14"/>
    <n v="10.5"/>
    <n v="3.5"/>
    <x v="0"/>
  </r>
  <r>
    <n v="23034"/>
    <x v="0"/>
    <n v="2020"/>
    <n v="7"/>
    <n v="3"/>
    <x v="184"/>
    <x v="6"/>
    <n v="2"/>
    <n v="14"/>
    <n v="10.8"/>
    <n v="3.1999999999999993"/>
    <x v="0"/>
  </r>
  <r>
    <n v="23034"/>
    <x v="0"/>
    <n v="2020"/>
    <n v="7"/>
    <n v="4"/>
    <x v="185"/>
    <x v="6"/>
    <n v="0.8"/>
    <n v="14.7"/>
    <n v="8.9"/>
    <n v="5.7999999999999989"/>
    <x v="0"/>
  </r>
  <r>
    <n v="23034"/>
    <x v="0"/>
    <n v="2020"/>
    <n v="7"/>
    <n v="5"/>
    <x v="186"/>
    <x v="6"/>
    <n v="0"/>
    <n v="14.8"/>
    <n v="9.1999999999999993"/>
    <n v="5.6000000000000014"/>
    <x v="0"/>
  </r>
  <r>
    <n v="23034"/>
    <x v="0"/>
    <n v="2020"/>
    <n v="7"/>
    <n v="6"/>
    <x v="187"/>
    <x v="6"/>
    <n v="0"/>
    <n v="15"/>
    <n v="9"/>
    <n v="6"/>
    <x v="0"/>
  </r>
  <r>
    <n v="23034"/>
    <x v="0"/>
    <n v="2020"/>
    <n v="7"/>
    <n v="7"/>
    <x v="188"/>
    <x v="6"/>
    <n v="0"/>
    <n v="12.3"/>
    <n v="7.2"/>
    <n v="5.1000000000000005"/>
    <x v="0"/>
  </r>
  <r>
    <n v="23034"/>
    <x v="0"/>
    <n v="2020"/>
    <n v="7"/>
    <n v="8"/>
    <x v="189"/>
    <x v="6"/>
    <n v="0"/>
    <n v="14.9"/>
    <n v="4.3"/>
    <n v="10.600000000000001"/>
    <x v="0"/>
  </r>
  <r>
    <n v="23034"/>
    <x v="0"/>
    <n v="2020"/>
    <n v="7"/>
    <n v="9"/>
    <x v="190"/>
    <x v="6"/>
    <n v="0"/>
    <n v="15.6"/>
    <n v="4.8"/>
    <n v="10.8"/>
    <x v="0"/>
  </r>
  <r>
    <n v="23034"/>
    <x v="0"/>
    <n v="2020"/>
    <n v="7"/>
    <n v="10"/>
    <x v="191"/>
    <x v="6"/>
    <n v="0.2"/>
    <n v="15.6"/>
    <n v="8.3000000000000007"/>
    <n v="7.2999999999999989"/>
    <x v="0"/>
  </r>
  <r>
    <n v="23034"/>
    <x v="0"/>
    <n v="2020"/>
    <n v="7"/>
    <n v="11"/>
    <x v="192"/>
    <x v="6"/>
    <n v="2.8"/>
    <n v="13.6"/>
    <n v="8.1"/>
    <n v="5.5"/>
    <x v="0"/>
  </r>
  <r>
    <n v="23034"/>
    <x v="0"/>
    <n v="2020"/>
    <n v="7"/>
    <n v="12"/>
    <x v="193"/>
    <x v="6"/>
    <n v="1.2"/>
    <n v="16.399999999999999"/>
    <n v="6.6"/>
    <n v="9.7999999999999989"/>
    <x v="0"/>
  </r>
  <r>
    <n v="23034"/>
    <x v="0"/>
    <n v="2020"/>
    <n v="7"/>
    <n v="13"/>
    <x v="194"/>
    <x v="6"/>
    <n v="0"/>
    <n v="13"/>
    <n v="3.7"/>
    <n v="9.3000000000000007"/>
    <x v="0"/>
  </r>
  <r>
    <n v="23034"/>
    <x v="0"/>
    <n v="2020"/>
    <n v="7"/>
    <n v="14"/>
    <x v="195"/>
    <x v="6"/>
    <n v="0.2"/>
    <n v="9.9"/>
    <n v="2.9"/>
    <n v="7"/>
    <x v="3"/>
  </r>
  <r>
    <n v="23034"/>
    <x v="0"/>
    <n v="2020"/>
    <n v="7"/>
    <n v="15"/>
    <x v="196"/>
    <x v="6"/>
    <n v="0.2"/>
    <n v="16.600000000000001"/>
    <n v="2.2000000000000002"/>
    <n v="14.400000000000002"/>
    <x v="0"/>
  </r>
  <r>
    <n v="23034"/>
    <x v="0"/>
    <n v="2020"/>
    <n v="7"/>
    <n v="16"/>
    <x v="197"/>
    <x v="6"/>
    <n v="0"/>
    <n v="15.5"/>
    <n v="4"/>
    <n v="11.5"/>
    <x v="0"/>
  </r>
  <r>
    <n v="23034"/>
    <x v="0"/>
    <n v="2020"/>
    <n v="7"/>
    <n v="17"/>
    <x v="198"/>
    <x v="6"/>
    <n v="0"/>
    <n v="19.5"/>
    <n v="3.8"/>
    <n v="15.7"/>
    <x v="0"/>
  </r>
  <r>
    <n v="23034"/>
    <x v="0"/>
    <n v="2020"/>
    <n v="7"/>
    <n v="18"/>
    <x v="199"/>
    <x v="6"/>
    <n v="0"/>
    <n v="16.5"/>
    <n v="8.6"/>
    <n v="7.9"/>
    <x v="0"/>
  </r>
  <r>
    <n v="23034"/>
    <x v="0"/>
    <n v="2020"/>
    <n v="7"/>
    <n v="19"/>
    <x v="200"/>
    <x v="6"/>
    <n v="2.2000000000000002"/>
    <n v="15"/>
    <n v="8.1999999999999993"/>
    <n v="6.8000000000000007"/>
    <x v="0"/>
  </r>
  <r>
    <n v="23034"/>
    <x v="0"/>
    <n v="2020"/>
    <n v="7"/>
    <n v="20"/>
    <x v="201"/>
    <x v="6"/>
    <n v="0.2"/>
    <n v="13.9"/>
    <n v="5.0999999999999996"/>
    <n v="8.8000000000000007"/>
    <x v="0"/>
  </r>
  <r>
    <n v="23034"/>
    <x v="0"/>
    <n v="2020"/>
    <n v="7"/>
    <n v="21"/>
    <x v="202"/>
    <x v="6"/>
    <n v="0.2"/>
    <n v="13"/>
    <n v="2.7"/>
    <n v="10.3"/>
    <x v="0"/>
  </r>
  <r>
    <n v="23034"/>
    <x v="0"/>
    <n v="2020"/>
    <n v="7"/>
    <n v="22"/>
    <x v="203"/>
    <x v="6"/>
    <n v="0"/>
    <n v="11.6"/>
    <n v="7"/>
    <n v="4.5999999999999996"/>
    <x v="0"/>
  </r>
  <r>
    <n v="23034"/>
    <x v="0"/>
    <n v="2020"/>
    <n v="7"/>
    <n v="23"/>
    <x v="204"/>
    <x v="6"/>
    <n v="0"/>
    <n v="15.1"/>
    <n v="2"/>
    <n v="13.1"/>
    <x v="0"/>
  </r>
  <r>
    <n v="23034"/>
    <x v="0"/>
    <n v="2020"/>
    <n v="7"/>
    <n v="24"/>
    <x v="205"/>
    <x v="6"/>
    <n v="0"/>
    <n v="18.8"/>
    <n v="4.5999999999999996"/>
    <n v="14.200000000000001"/>
    <x v="0"/>
  </r>
  <r>
    <n v="23034"/>
    <x v="0"/>
    <n v="2020"/>
    <n v="7"/>
    <n v="25"/>
    <x v="206"/>
    <x v="6"/>
    <n v="0"/>
    <n v="16"/>
    <n v="3.9"/>
    <n v="12.1"/>
    <x v="0"/>
  </r>
  <r>
    <n v="23034"/>
    <x v="0"/>
    <n v="2020"/>
    <n v="7"/>
    <n v="26"/>
    <x v="207"/>
    <x v="6"/>
    <n v="0"/>
    <n v="16.3"/>
    <n v="2.9"/>
    <n v="13.4"/>
    <x v="0"/>
  </r>
  <r>
    <n v="23034"/>
    <x v="0"/>
    <n v="2020"/>
    <n v="7"/>
    <n v="27"/>
    <x v="208"/>
    <x v="6"/>
    <n v="0.4"/>
    <n v="16.100000000000001"/>
    <n v="5.9"/>
    <n v="10.200000000000001"/>
    <x v="0"/>
  </r>
  <r>
    <n v="23034"/>
    <x v="0"/>
    <n v="2020"/>
    <n v="7"/>
    <n v="28"/>
    <x v="209"/>
    <x v="6"/>
    <n v="0"/>
    <n v="12.8"/>
    <n v="0.3"/>
    <n v="12.5"/>
    <x v="0"/>
  </r>
  <r>
    <n v="23034"/>
    <x v="0"/>
    <n v="2020"/>
    <n v="7"/>
    <n v="29"/>
    <x v="210"/>
    <x v="6"/>
    <n v="0"/>
    <n v="16.100000000000001"/>
    <n v="0.9"/>
    <n v="15.200000000000001"/>
    <x v="0"/>
  </r>
  <r>
    <n v="23034"/>
    <x v="0"/>
    <n v="2020"/>
    <n v="7"/>
    <n v="30"/>
    <x v="211"/>
    <x v="6"/>
    <n v="0"/>
    <n v="11.8"/>
    <n v="4.9000000000000004"/>
    <n v="6.9"/>
    <x v="0"/>
  </r>
  <r>
    <n v="23034"/>
    <x v="0"/>
    <n v="2020"/>
    <n v="7"/>
    <n v="31"/>
    <x v="212"/>
    <x v="6"/>
    <n v="0.2"/>
    <n v="19.5"/>
    <n v="3.7"/>
    <n v="15.8"/>
    <x v="0"/>
  </r>
  <r>
    <n v="23034"/>
    <x v="0"/>
    <n v="2020"/>
    <n v="8"/>
    <n v="1"/>
    <x v="213"/>
    <x v="7"/>
    <n v="0"/>
    <n v="20.100000000000001"/>
    <n v="9.8000000000000007"/>
    <n v="10.3"/>
    <x v="0"/>
  </r>
  <r>
    <n v="23034"/>
    <x v="0"/>
    <n v="2020"/>
    <n v="8"/>
    <n v="2"/>
    <x v="214"/>
    <x v="7"/>
    <n v="0"/>
    <n v="18.2"/>
    <n v="5.7"/>
    <n v="12.5"/>
    <x v="0"/>
  </r>
  <r>
    <n v="23034"/>
    <x v="0"/>
    <n v="2020"/>
    <n v="8"/>
    <n v="3"/>
    <x v="215"/>
    <x v="7"/>
    <n v="0"/>
    <n v="15"/>
    <n v="5.5"/>
    <n v="9.5"/>
    <x v="0"/>
  </r>
  <r>
    <n v="23034"/>
    <x v="0"/>
    <n v="2020"/>
    <n v="8"/>
    <n v="4"/>
    <x v="216"/>
    <x v="7"/>
    <n v="0"/>
    <n v="14.2"/>
    <n v="5.0999999999999996"/>
    <n v="9.1"/>
    <x v="0"/>
  </r>
  <r>
    <n v="23034"/>
    <x v="0"/>
    <n v="2020"/>
    <n v="8"/>
    <n v="5"/>
    <x v="217"/>
    <x v="7"/>
    <n v="0"/>
    <n v="14.6"/>
    <n v="-0.3"/>
    <n v="14.9"/>
    <x v="0"/>
  </r>
  <r>
    <n v="23034"/>
    <x v="0"/>
    <n v="2020"/>
    <n v="8"/>
    <n v="6"/>
    <x v="218"/>
    <x v="7"/>
    <n v="0"/>
    <n v="13"/>
    <n v="2.6"/>
    <n v="10.4"/>
    <x v="0"/>
  </r>
  <r>
    <n v="23034"/>
    <x v="0"/>
    <n v="2020"/>
    <n v="8"/>
    <n v="7"/>
    <x v="219"/>
    <x v="7"/>
    <n v="0"/>
    <n v="10.9"/>
    <n v="8"/>
    <n v="2.9000000000000004"/>
    <x v="0"/>
  </r>
  <r>
    <n v="23034"/>
    <x v="0"/>
    <n v="2020"/>
    <n v="8"/>
    <n v="8"/>
    <x v="220"/>
    <x v="7"/>
    <n v="1"/>
    <n v="14"/>
    <n v="7.7"/>
    <n v="6.3"/>
    <x v="0"/>
  </r>
  <r>
    <n v="23034"/>
    <x v="0"/>
    <n v="2020"/>
    <n v="8"/>
    <n v="9"/>
    <x v="221"/>
    <x v="7"/>
    <n v="0"/>
    <n v="15.3"/>
    <n v="6.3"/>
    <n v="9"/>
    <x v="0"/>
  </r>
  <r>
    <n v="23034"/>
    <x v="0"/>
    <n v="2020"/>
    <n v="8"/>
    <n v="10"/>
    <x v="222"/>
    <x v="7"/>
    <n v="0"/>
    <n v="17.8"/>
    <n v="3.7"/>
    <n v="14.100000000000001"/>
    <x v="0"/>
  </r>
  <r>
    <n v="23034"/>
    <x v="0"/>
    <n v="2020"/>
    <n v="8"/>
    <n v="11"/>
    <x v="223"/>
    <x v="7"/>
    <n v="0"/>
    <n v="15"/>
    <n v="11.9"/>
    <n v="3.0999999999999996"/>
    <x v="0"/>
  </r>
  <r>
    <n v="23034"/>
    <x v="0"/>
    <n v="2020"/>
    <n v="8"/>
    <n v="12"/>
    <x v="224"/>
    <x v="7"/>
    <n v="9.6"/>
    <n v="16.899999999999999"/>
    <n v="10.9"/>
    <n v="5.9999999999999982"/>
    <x v="0"/>
  </r>
  <r>
    <n v="23034"/>
    <x v="0"/>
    <n v="2020"/>
    <n v="8"/>
    <n v="13"/>
    <x v="225"/>
    <x v="7"/>
    <n v="0.2"/>
    <n v="17.100000000000001"/>
    <n v="11.8"/>
    <n v="5.3000000000000007"/>
    <x v="0"/>
  </r>
  <r>
    <n v="23034"/>
    <x v="0"/>
    <n v="2020"/>
    <n v="8"/>
    <n v="14"/>
    <x v="226"/>
    <x v="7"/>
    <n v="0.4"/>
    <n v="16.3"/>
    <n v="9.6999999999999993"/>
    <n v="6.6000000000000014"/>
    <x v="0"/>
  </r>
  <r>
    <n v="23034"/>
    <x v="0"/>
    <n v="2020"/>
    <n v="8"/>
    <n v="15"/>
    <x v="227"/>
    <x v="7"/>
    <n v="2.2000000000000002"/>
    <n v="15.2"/>
    <n v="11.3"/>
    <n v="3.8999999999999986"/>
    <x v="0"/>
  </r>
  <r>
    <n v="23034"/>
    <x v="0"/>
    <n v="2020"/>
    <n v="8"/>
    <n v="16"/>
    <x v="228"/>
    <x v="7"/>
    <n v="0.2"/>
    <n v="14.7"/>
    <n v="7.5"/>
    <n v="7.1999999999999993"/>
    <x v="0"/>
  </r>
  <r>
    <n v="23034"/>
    <x v="0"/>
    <n v="2020"/>
    <n v="8"/>
    <n v="17"/>
    <x v="229"/>
    <x v="7"/>
    <n v="0.2"/>
    <n v="17.2"/>
    <n v="7.7"/>
    <n v="9.5"/>
    <x v="0"/>
  </r>
  <r>
    <n v="23034"/>
    <x v="0"/>
    <n v="2020"/>
    <n v="8"/>
    <n v="18"/>
    <x v="230"/>
    <x v="7"/>
    <n v="0.8"/>
    <n v="16"/>
    <n v="8.9"/>
    <n v="7.1"/>
    <x v="0"/>
  </r>
  <r>
    <n v="23034"/>
    <x v="0"/>
    <n v="2020"/>
    <n v="8"/>
    <n v="19"/>
    <x v="231"/>
    <x v="7"/>
    <n v="7.8"/>
    <n v="15.3"/>
    <n v="9.6"/>
    <n v="5.7000000000000011"/>
    <x v="0"/>
  </r>
  <r>
    <n v="23034"/>
    <x v="0"/>
    <n v="2020"/>
    <n v="8"/>
    <n v="20"/>
    <x v="232"/>
    <x v="7"/>
    <n v="1.8"/>
    <n v="14.8"/>
    <n v="10"/>
    <n v="4.8000000000000007"/>
    <x v="0"/>
  </r>
  <r>
    <n v="23034"/>
    <x v="0"/>
    <n v="2020"/>
    <n v="8"/>
    <n v="21"/>
    <x v="233"/>
    <x v="7"/>
    <n v="6.8"/>
    <n v="12.9"/>
    <n v="9.1999999999999993"/>
    <n v="3.7000000000000011"/>
    <x v="0"/>
  </r>
  <r>
    <n v="23034"/>
    <x v="0"/>
    <n v="2020"/>
    <n v="8"/>
    <n v="22"/>
    <x v="234"/>
    <x v="7"/>
    <n v="2"/>
    <n v="13.7"/>
    <n v="8.1999999999999993"/>
    <n v="5.5"/>
    <x v="0"/>
  </r>
  <r>
    <n v="23034"/>
    <x v="0"/>
    <n v="2020"/>
    <n v="8"/>
    <n v="23"/>
    <x v="235"/>
    <x v="7"/>
    <n v="0.4"/>
    <n v="13.2"/>
    <n v="9.1999999999999993"/>
    <n v="4"/>
    <x v="0"/>
  </r>
  <r>
    <n v="23034"/>
    <x v="0"/>
    <n v="2020"/>
    <n v="8"/>
    <n v="24"/>
    <x v="236"/>
    <x v="7"/>
    <n v="0.2"/>
    <n v="12.8"/>
    <n v="6"/>
    <n v="6.8000000000000007"/>
    <x v="0"/>
  </r>
  <r>
    <n v="23034"/>
    <x v="0"/>
    <n v="2020"/>
    <n v="8"/>
    <n v="25"/>
    <x v="237"/>
    <x v="7"/>
    <n v="0"/>
    <n v="13.9"/>
    <n v="1.7"/>
    <n v="12.200000000000001"/>
    <x v="0"/>
  </r>
  <r>
    <n v="23034"/>
    <x v="0"/>
    <n v="2020"/>
    <n v="8"/>
    <n v="26"/>
    <x v="238"/>
    <x v="7"/>
    <n v="0"/>
    <n v="20.100000000000001"/>
    <n v="5.9"/>
    <n v="14.200000000000001"/>
    <x v="0"/>
  </r>
  <r>
    <n v="23034"/>
    <x v="0"/>
    <n v="2020"/>
    <n v="8"/>
    <n v="27"/>
    <x v="239"/>
    <x v="7"/>
    <n v="0"/>
    <n v="17.7"/>
    <n v="9.3000000000000007"/>
    <n v="8.3999999999999986"/>
    <x v="0"/>
  </r>
  <r>
    <n v="23034"/>
    <x v="0"/>
    <n v="2020"/>
    <n v="8"/>
    <n v="28"/>
    <x v="240"/>
    <x v="7"/>
    <n v="0"/>
    <n v="18.7"/>
    <n v="7.4"/>
    <n v="11.299999999999999"/>
    <x v="0"/>
  </r>
  <r>
    <n v="23034"/>
    <x v="0"/>
    <n v="2020"/>
    <n v="8"/>
    <n v="29"/>
    <x v="241"/>
    <x v="7"/>
    <n v="0"/>
    <n v="24.9"/>
    <n v="8"/>
    <n v="16.899999999999999"/>
    <x v="0"/>
  </r>
  <r>
    <n v="23034"/>
    <x v="0"/>
    <n v="2020"/>
    <n v="8"/>
    <n v="30"/>
    <x v="242"/>
    <x v="7"/>
    <n v="0"/>
    <n v="15.5"/>
    <n v="12.7"/>
    <n v="2.8000000000000007"/>
    <x v="0"/>
  </r>
  <r>
    <n v="23034"/>
    <x v="0"/>
    <n v="2020"/>
    <n v="8"/>
    <n v="31"/>
    <x v="243"/>
    <x v="7"/>
    <n v="0.4"/>
    <n v="14.5"/>
    <n v="8.1"/>
    <n v="6.4"/>
    <x v="0"/>
  </r>
  <r>
    <n v="23034"/>
    <x v="0"/>
    <n v="2020"/>
    <n v="9"/>
    <n v="1"/>
    <x v="244"/>
    <x v="8"/>
    <n v="0"/>
    <n v="19.5"/>
    <n v="4.9000000000000004"/>
    <n v="14.6"/>
    <x v="0"/>
  </r>
  <r>
    <n v="23034"/>
    <x v="0"/>
    <n v="2020"/>
    <n v="9"/>
    <n v="2"/>
    <x v="245"/>
    <x v="8"/>
    <n v="0"/>
    <n v="19.399999999999999"/>
    <n v="13.5"/>
    <n v="5.8999999999999986"/>
    <x v="0"/>
  </r>
  <r>
    <n v="23034"/>
    <x v="0"/>
    <n v="2020"/>
    <n v="9"/>
    <n v="3"/>
    <x v="246"/>
    <x v="8"/>
    <n v="0.2"/>
    <n v="17.3"/>
    <n v="9.4"/>
    <n v="7.9"/>
    <x v="0"/>
  </r>
  <r>
    <n v="23034"/>
    <x v="0"/>
    <n v="2020"/>
    <n v="9"/>
    <n v="4"/>
    <x v="247"/>
    <x v="8"/>
    <n v="0"/>
    <n v="17.8"/>
    <n v="8.6"/>
    <n v="9.2000000000000011"/>
    <x v="0"/>
  </r>
  <r>
    <n v="23034"/>
    <x v="0"/>
    <n v="2020"/>
    <n v="9"/>
    <n v="5"/>
    <x v="248"/>
    <x v="8"/>
    <n v="2"/>
    <n v="18.600000000000001"/>
    <n v="12"/>
    <n v="6.6000000000000014"/>
    <x v="0"/>
  </r>
  <r>
    <n v="23034"/>
    <x v="0"/>
    <n v="2020"/>
    <n v="9"/>
    <n v="6"/>
    <x v="249"/>
    <x v="8"/>
    <n v="0"/>
    <n v="24.4"/>
    <n v="7.2"/>
    <n v="17.2"/>
    <x v="0"/>
  </r>
  <r>
    <n v="23034"/>
    <x v="0"/>
    <n v="2020"/>
    <n v="9"/>
    <n v="7"/>
    <x v="250"/>
    <x v="8"/>
    <n v="0"/>
    <n v="30.2"/>
    <n v="15.8"/>
    <n v="14.399999999999999"/>
    <x v="0"/>
  </r>
  <r>
    <n v="23034"/>
    <x v="0"/>
    <n v="2020"/>
    <n v="9"/>
    <n v="8"/>
    <x v="251"/>
    <x v="8"/>
    <n v="0"/>
    <n v="16.8"/>
    <n v="15"/>
    <n v="1.8000000000000007"/>
    <x v="0"/>
  </r>
  <r>
    <n v="23034"/>
    <x v="0"/>
    <n v="2020"/>
    <n v="9"/>
    <n v="9"/>
    <x v="252"/>
    <x v="8"/>
    <n v="0"/>
    <n v="20.399999999999999"/>
    <n v="9.6999999999999993"/>
    <n v="10.7"/>
    <x v="0"/>
  </r>
  <r>
    <n v="23034"/>
    <x v="0"/>
    <n v="2020"/>
    <n v="9"/>
    <n v="10"/>
    <x v="253"/>
    <x v="8"/>
    <n v="0"/>
    <n v="24.4"/>
    <n v="9.6999999999999993"/>
    <n v="14.7"/>
    <x v="0"/>
  </r>
  <r>
    <n v="23034"/>
    <x v="0"/>
    <n v="2020"/>
    <n v="9"/>
    <n v="11"/>
    <x v="254"/>
    <x v="8"/>
    <n v="0"/>
    <n v="28.7"/>
    <n v="16.399999999999999"/>
    <n v="12.3"/>
    <x v="0"/>
  </r>
  <r>
    <n v="23034"/>
    <x v="0"/>
    <n v="2020"/>
    <n v="9"/>
    <n v="12"/>
    <x v="255"/>
    <x v="8"/>
    <n v="0"/>
    <n v="23.7"/>
    <n v="16.100000000000001"/>
    <n v="7.5999999999999979"/>
    <x v="0"/>
  </r>
  <r>
    <n v="23034"/>
    <x v="0"/>
    <n v="2020"/>
    <n v="9"/>
    <n v="13"/>
    <x v="256"/>
    <x v="8"/>
    <n v="8.6"/>
    <n v="15.4"/>
    <n v="9.6999999999999993"/>
    <n v="5.7000000000000011"/>
    <x v="0"/>
  </r>
  <r>
    <n v="23034"/>
    <x v="0"/>
    <n v="2020"/>
    <n v="9"/>
    <n v="14"/>
    <x v="257"/>
    <x v="8"/>
    <n v="0.2"/>
    <n v="16.5"/>
    <n v="8.6999999999999993"/>
    <n v="7.8000000000000007"/>
    <x v="0"/>
  </r>
  <r>
    <n v="23034"/>
    <x v="0"/>
    <n v="2020"/>
    <n v="9"/>
    <n v="15"/>
    <x v="258"/>
    <x v="8"/>
    <n v="0"/>
    <n v="18.100000000000001"/>
    <n v="5.2"/>
    <n v="12.900000000000002"/>
    <x v="0"/>
  </r>
  <r>
    <n v="23034"/>
    <x v="0"/>
    <n v="2020"/>
    <n v="9"/>
    <n v="16"/>
    <x v="259"/>
    <x v="8"/>
    <n v="0"/>
    <n v="27.1"/>
    <n v="9"/>
    <n v="18.100000000000001"/>
    <x v="0"/>
  </r>
  <r>
    <n v="23034"/>
    <x v="0"/>
    <n v="2020"/>
    <n v="9"/>
    <n v="17"/>
    <x v="260"/>
    <x v="8"/>
    <n v="0"/>
    <n v="23.1"/>
    <n v="15.8"/>
    <n v="7.3000000000000007"/>
    <x v="0"/>
  </r>
  <r>
    <n v="23034"/>
    <x v="0"/>
    <n v="2020"/>
    <n v="9"/>
    <n v="18"/>
    <x v="261"/>
    <x v="8"/>
    <n v="0"/>
    <n v="29.6"/>
    <n v="15.4"/>
    <n v="14.200000000000001"/>
    <x v="0"/>
  </r>
  <r>
    <n v="23034"/>
    <x v="0"/>
    <n v="2020"/>
    <n v="9"/>
    <n v="19"/>
    <x v="262"/>
    <x v="8"/>
    <n v="0"/>
    <n v="25.1"/>
    <n v="17.600000000000001"/>
    <n v="7.5"/>
    <x v="0"/>
  </r>
  <r>
    <n v="23034"/>
    <x v="0"/>
    <n v="2020"/>
    <n v="9"/>
    <n v="20"/>
    <x v="263"/>
    <x v="8"/>
    <n v="0"/>
    <n v="27.5"/>
    <n v="14"/>
    <n v="13.5"/>
    <x v="0"/>
  </r>
  <r>
    <n v="23034"/>
    <x v="0"/>
    <n v="2020"/>
    <n v="9"/>
    <n v="21"/>
    <x v="264"/>
    <x v="8"/>
    <n v="0.6"/>
    <n v="19.100000000000001"/>
    <n v="10.3"/>
    <n v="8.8000000000000007"/>
    <x v="0"/>
  </r>
  <r>
    <n v="23034"/>
    <x v="0"/>
    <n v="2020"/>
    <n v="9"/>
    <n v="22"/>
    <x v="265"/>
    <x v="8"/>
    <n v="2.8"/>
    <n v="16.2"/>
    <n v="11.5"/>
    <n v="4.6999999999999993"/>
    <x v="0"/>
  </r>
  <r>
    <n v="23034"/>
    <x v="0"/>
    <n v="2020"/>
    <n v="9"/>
    <n v="23"/>
    <x v="266"/>
    <x v="8"/>
    <n v="4.4000000000000004"/>
    <n v="15.8"/>
    <n v="10.8"/>
    <n v="5"/>
    <x v="0"/>
  </r>
  <r>
    <n v="23034"/>
    <x v="0"/>
    <n v="2020"/>
    <n v="9"/>
    <n v="24"/>
    <x v="267"/>
    <x v="8"/>
    <n v="0"/>
    <n v="15.5"/>
    <n v="10.6"/>
    <n v="4.9000000000000004"/>
    <x v="0"/>
  </r>
  <r>
    <n v="23034"/>
    <x v="0"/>
    <n v="2020"/>
    <n v="9"/>
    <n v="25"/>
    <x v="268"/>
    <x v="8"/>
    <n v="7.2"/>
    <n v="14"/>
    <n v="5.7"/>
    <n v="8.3000000000000007"/>
    <x v="0"/>
  </r>
  <r>
    <n v="23034"/>
    <x v="0"/>
    <n v="2020"/>
    <n v="9"/>
    <n v="26"/>
    <x v="269"/>
    <x v="8"/>
    <n v="2.2000000000000002"/>
    <n v="14.9"/>
    <n v="5.2"/>
    <n v="9.6999999999999993"/>
    <x v="0"/>
  </r>
  <r>
    <n v="23034"/>
    <x v="0"/>
    <n v="2020"/>
    <n v="9"/>
    <n v="27"/>
    <x v="270"/>
    <x v="8"/>
    <n v="0"/>
    <n v="17"/>
    <n v="4.3"/>
    <n v="12.7"/>
    <x v="0"/>
  </r>
  <r>
    <n v="23034"/>
    <x v="0"/>
    <n v="2020"/>
    <n v="9"/>
    <n v="28"/>
    <x v="271"/>
    <x v="8"/>
    <n v="0"/>
    <n v="22.4"/>
    <n v="11.3"/>
    <n v="11.099999999999998"/>
    <x v="0"/>
  </r>
  <r>
    <n v="23034"/>
    <x v="0"/>
    <n v="2020"/>
    <n v="9"/>
    <n v="29"/>
    <x v="272"/>
    <x v="8"/>
    <n v="0"/>
    <n v="20.2"/>
    <n v="14.6"/>
    <n v="5.6"/>
    <x v="0"/>
  </r>
  <r>
    <n v="23034"/>
    <x v="0"/>
    <n v="2020"/>
    <n v="9"/>
    <n v="30"/>
    <x v="273"/>
    <x v="8"/>
    <n v="14"/>
    <n v="16.5"/>
    <n v="13.2"/>
    <n v="3.3000000000000007"/>
    <x v="0"/>
  </r>
  <r>
    <n v="23034"/>
    <x v="0"/>
    <n v="2020"/>
    <n v="10"/>
    <n v="1"/>
    <x v="274"/>
    <x v="9"/>
    <n v="0.8"/>
    <n v="24.6"/>
    <n v="6.3"/>
    <n v="18.3"/>
    <x v="0"/>
  </r>
  <r>
    <n v="23034"/>
    <x v="0"/>
    <n v="2020"/>
    <n v="10"/>
    <n v="2"/>
    <x v="275"/>
    <x v="9"/>
    <n v="0.2"/>
    <n v="30.9"/>
    <n v="13.2"/>
    <n v="17.7"/>
    <x v="0"/>
  </r>
  <r>
    <n v="23034"/>
    <x v="0"/>
    <n v="2020"/>
    <n v="10"/>
    <n v="3"/>
    <x v="276"/>
    <x v="9"/>
    <n v="0"/>
    <n v="30.2"/>
    <n v="23.4"/>
    <n v="6.8000000000000007"/>
    <x v="0"/>
  </r>
  <r>
    <n v="23034"/>
    <x v="0"/>
    <n v="2020"/>
    <n v="10"/>
    <n v="4"/>
    <x v="277"/>
    <x v="9"/>
    <n v="0"/>
    <n v="22.8"/>
    <n v="16.899999999999999"/>
    <n v="5.9000000000000021"/>
    <x v="0"/>
  </r>
  <r>
    <n v="23034"/>
    <x v="0"/>
    <n v="2020"/>
    <n v="10"/>
    <n v="5"/>
    <x v="278"/>
    <x v="9"/>
    <n v="19.2"/>
    <n v="17.100000000000001"/>
    <n v="8.6999999999999993"/>
    <n v="8.4000000000000021"/>
    <x v="0"/>
  </r>
  <r>
    <n v="23034"/>
    <x v="0"/>
    <n v="2020"/>
    <n v="10"/>
    <n v="6"/>
    <x v="279"/>
    <x v="9"/>
    <n v="0"/>
    <n v="17"/>
    <n v="9.3000000000000007"/>
    <n v="7.6999999999999993"/>
    <x v="0"/>
  </r>
  <r>
    <n v="23034"/>
    <x v="0"/>
    <n v="2020"/>
    <n v="10"/>
    <n v="7"/>
    <x v="280"/>
    <x v="9"/>
    <n v="2.8"/>
    <n v="13.9"/>
    <n v="9.5"/>
    <n v="4.4000000000000004"/>
    <x v="0"/>
  </r>
  <r>
    <n v="23034"/>
    <x v="0"/>
    <n v="2020"/>
    <n v="10"/>
    <n v="8"/>
    <x v="281"/>
    <x v="9"/>
    <n v="12.6"/>
    <n v="15.7"/>
    <n v="9.4"/>
    <n v="6.2999999999999989"/>
    <x v="0"/>
  </r>
  <r>
    <n v="23034"/>
    <x v="0"/>
    <n v="2020"/>
    <n v="10"/>
    <n v="9"/>
    <x v="282"/>
    <x v="9"/>
    <n v="0"/>
    <n v="19.2"/>
    <n v="11.5"/>
    <n v="7.6999999999999993"/>
    <x v="0"/>
  </r>
  <r>
    <n v="23034"/>
    <x v="0"/>
    <n v="2020"/>
    <n v="10"/>
    <n v="10"/>
    <x v="283"/>
    <x v="9"/>
    <n v="0"/>
    <n v="19.399999999999999"/>
    <n v="9.8000000000000007"/>
    <n v="9.5999999999999979"/>
    <x v="0"/>
  </r>
  <r>
    <n v="23034"/>
    <x v="0"/>
    <n v="2020"/>
    <n v="10"/>
    <n v="11"/>
    <x v="284"/>
    <x v="9"/>
    <n v="0"/>
    <n v="21.4"/>
    <n v="7.2"/>
    <n v="14.2"/>
    <x v="0"/>
  </r>
  <r>
    <n v="23034"/>
    <x v="0"/>
    <n v="2020"/>
    <n v="10"/>
    <n v="12"/>
    <x v="285"/>
    <x v="9"/>
    <n v="0"/>
    <n v="28.5"/>
    <n v="13.6"/>
    <n v="14.9"/>
    <x v="0"/>
  </r>
  <r>
    <n v="23034"/>
    <x v="0"/>
    <n v="2020"/>
    <n v="10"/>
    <n v="13"/>
    <x v="286"/>
    <x v="9"/>
    <n v="0"/>
    <n v="22.1"/>
    <n v="12.5"/>
    <n v="9.6000000000000014"/>
    <x v="0"/>
  </r>
  <r>
    <n v="23034"/>
    <x v="0"/>
    <n v="2020"/>
    <n v="10"/>
    <n v="14"/>
    <x v="287"/>
    <x v="9"/>
    <n v="0"/>
    <n v="32.200000000000003"/>
    <n v="13.1"/>
    <n v="19.100000000000001"/>
    <x v="0"/>
  </r>
  <r>
    <n v="23034"/>
    <x v="0"/>
    <n v="2020"/>
    <n v="10"/>
    <n v="15"/>
    <x v="288"/>
    <x v="9"/>
    <n v="0"/>
    <n v="27.2"/>
    <n v="19.3"/>
    <n v="7.8999999999999986"/>
    <x v="0"/>
  </r>
  <r>
    <n v="23034"/>
    <x v="0"/>
    <n v="2020"/>
    <n v="10"/>
    <n v="16"/>
    <x v="289"/>
    <x v="9"/>
    <n v="0.4"/>
    <n v="20.399999999999999"/>
    <n v="14.6"/>
    <n v="5.7999999999999989"/>
    <x v="0"/>
  </r>
  <r>
    <n v="23034"/>
    <x v="0"/>
    <n v="2020"/>
    <n v="10"/>
    <n v="17"/>
    <x v="290"/>
    <x v="9"/>
    <n v="1.6"/>
    <n v="18.2"/>
    <n v="12.5"/>
    <n v="5.6999999999999993"/>
    <x v="0"/>
  </r>
  <r>
    <n v="23034"/>
    <x v="0"/>
    <n v="2020"/>
    <n v="10"/>
    <n v="18"/>
    <x v="291"/>
    <x v="9"/>
    <n v="0"/>
    <n v="16.8"/>
    <n v="11.8"/>
    <n v="5"/>
    <x v="0"/>
  </r>
  <r>
    <n v="23034"/>
    <x v="0"/>
    <n v="2020"/>
    <n v="10"/>
    <n v="19"/>
    <x v="292"/>
    <x v="9"/>
    <n v="0"/>
    <n v="18.600000000000001"/>
    <n v="6.6"/>
    <n v="12.000000000000002"/>
    <x v="0"/>
  </r>
  <r>
    <n v="23034"/>
    <x v="0"/>
    <n v="2020"/>
    <n v="10"/>
    <n v="20"/>
    <x v="293"/>
    <x v="9"/>
    <n v="0"/>
    <n v="21.7"/>
    <n v="7.6"/>
    <n v="14.1"/>
    <x v="0"/>
  </r>
  <r>
    <n v="23034"/>
    <x v="0"/>
    <n v="2020"/>
    <n v="10"/>
    <n v="21"/>
    <x v="294"/>
    <x v="9"/>
    <n v="0"/>
    <n v="22.8"/>
    <n v="10.5"/>
    <n v="12.3"/>
    <x v="0"/>
  </r>
  <r>
    <n v="23034"/>
    <x v="0"/>
    <n v="2020"/>
    <n v="10"/>
    <n v="22"/>
    <x v="295"/>
    <x v="9"/>
    <n v="0"/>
    <n v="26.3"/>
    <n v="12.8"/>
    <n v="13.5"/>
    <x v="0"/>
  </r>
  <r>
    <n v="23034"/>
    <x v="0"/>
    <n v="2020"/>
    <n v="10"/>
    <n v="23"/>
    <x v="296"/>
    <x v="9"/>
    <n v="2"/>
    <n v="22.3"/>
    <n v="17"/>
    <n v="5.3000000000000007"/>
    <x v="0"/>
  </r>
  <r>
    <n v="23034"/>
    <x v="0"/>
    <n v="2020"/>
    <n v="10"/>
    <n v="24"/>
    <x v="297"/>
    <x v="9"/>
    <n v="0"/>
    <n v="18.3"/>
    <n v="12.4"/>
    <n v="5.9"/>
    <x v="0"/>
  </r>
  <r>
    <n v="23034"/>
    <x v="0"/>
    <n v="2020"/>
    <n v="10"/>
    <n v="25"/>
    <x v="298"/>
    <x v="9"/>
    <n v="0"/>
    <n v="16.899999999999999"/>
    <n v="8.9"/>
    <n v="7.9999999999999982"/>
    <x v="0"/>
  </r>
  <r>
    <n v="23034"/>
    <x v="0"/>
    <n v="2020"/>
    <n v="10"/>
    <n v="26"/>
    <x v="299"/>
    <x v="9"/>
    <n v="0"/>
    <n v="19.100000000000001"/>
    <n v="8.3000000000000007"/>
    <n v="10.8"/>
    <x v="0"/>
  </r>
  <r>
    <n v="23034"/>
    <x v="0"/>
    <n v="2020"/>
    <n v="10"/>
    <n v="27"/>
    <x v="300"/>
    <x v="9"/>
    <n v="1"/>
    <n v="19.5"/>
    <n v="11.9"/>
    <n v="7.6"/>
    <x v="0"/>
  </r>
  <r>
    <n v="23034"/>
    <x v="0"/>
    <n v="2020"/>
    <n v="10"/>
    <n v="28"/>
    <x v="301"/>
    <x v="9"/>
    <n v="0.2"/>
    <n v="21.4"/>
    <n v="7.9"/>
    <n v="13.499999999999998"/>
    <x v="0"/>
  </r>
  <r>
    <n v="23034"/>
    <x v="0"/>
    <n v="2020"/>
    <n v="10"/>
    <n v="29"/>
    <x v="302"/>
    <x v="9"/>
    <n v="0"/>
    <n v="21.7"/>
    <n v="13"/>
    <n v="8.6999999999999993"/>
    <x v="0"/>
  </r>
  <r>
    <n v="23034"/>
    <x v="0"/>
    <n v="2020"/>
    <n v="10"/>
    <n v="30"/>
    <x v="303"/>
    <x v="9"/>
    <n v="0.6"/>
    <n v="18"/>
    <n v="12.9"/>
    <n v="5.0999999999999996"/>
    <x v="0"/>
  </r>
  <r>
    <n v="23034"/>
    <x v="0"/>
    <n v="2020"/>
    <n v="10"/>
    <n v="31"/>
    <x v="304"/>
    <x v="9"/>
    <n v="0"/>
    <n v="18.399999999999999"/>
    <n v="13.1"/>
    <n v="5.2999999999999989"/>
    <x v="0"/>
  </r>
  <r>
    <n v="23034"/>
    <x v="0"/>
    <n v="2020"/>
    <n v="11"/>
    <n v="1"/>
    <x v="305"/>
    <x v="10"/>
    <n v="0"/>
    <n v="25.4"/>
    <n v="6.5"/>
    <n v="18.899999999999999"/>
    <x v="0"/>
  </r>
  <r>
    <n v="23034"/>
    <x v="0"/>
    <n v="2020"/>
    <n v="11"/>
    <n v="2"/>
    <x v="306"/>
    <x v="10"/>
    <n v="0"/>
    <n v="30.6"/>
    <n v="15.3"/>
    <n v="15.3"/>
    <x v="0"/>
  </r>
  <r>
    <n v="23034"/>
    <x v="0"/>
    <n v="2020"/>
    <n v="11"/>
    <n v="3"/>
    <x v="307"/>
    <x v="10"/>
    <n v="0"/>
    <n v="35.5"/>
    <n v="18.899999999999999"/>
    <n v="16.600000000000001"/>
    <x v="1"/>
  </r>
  <r>
    <n v="23034"/>
    <x v="0"/>
    <n v="2020"/>
    <n v="11"/>
    <n v="4"/>
    <x v="308"/>
    <x v="10"/>
    <n v="2"/>
    <n v="18.5"/>
    <n v="13.9"/>
    <n v="4.5999999999999996"/>
    <x v="0"/>
  </r>
  <r>
    <n v="23034"/>
    <x v="0"/>
    <n v="2020"/>
    <n v="11"/>
    <n v="5"/>
    <x v="309"/>
    <x v="10"/>
    <n v="0.2"/>
    <n v="18.600000000000001"/>
    <n v="8.3000000000000007"/>
    <n v="10.3"/>
    <x v="0"/>
  </r>
  <r>
    <n v="23034"/>
    <x v="0"/>
    <n v="2020"/>
    <n v="11"/>
    <n v="6"/>
    <x v="310"/>
    <x v="10"/>
    <n v="0"/>
    <n v="18.2"/>
    <n v="8.9"/>
    <n v="9.2999999999999989"/>
    <x v="0"/>
  </r>
  <r>
    <n v="23034"/>
    <x v="0"/>
    <n v="2020"/>
    <n v="11"/>
    <n v="7"/>
    <x v="311"/>
    <x v="10"/>
    <n v="0"/>
    <n v="23"/>
    <n v="11.1"/>
    <n v="11.9"/>
    <x v="0"/>
  </r>
  <r>
    <n v="23034"/>
    <x v="0"/>
    <n v="2020"/>
    <n v="11"/>
    <n v="8"/>
    <x v="312"/>
    <x v="10"/>
    <n v="0"/>
    <n v="25.3"/>
    <n v="11.1"/>
    <n v="14.200000000000001"/>
    <x v="0"/>
  </r>
  <r>
    <n v="23034"/>
    <x v="0"/>
    <n v="2020"/>
    <n v="11"/>
    <n v="9"/>
    <x v="313"/>
    <x v="10"/>
    <n v="0"/>
    <n v="32.700000000000003"/>
    <n v="13.5"/>
    <n v="19.200000000000003"/>
    <x v="0"/>
  </r>
  <r>
    <n v="23034"/>
    <x v="0"/>
    <n v="2020"/>
    <n v="11"/>
    <n v="10"/>
    <x v="314"/>
    <x v="10"/>
    <n v="0"/>
    <n v="37.299999999999997"/>
    <n v="20.5"/>
    <n v="16.799999999999997"/>
    <x v="1"/>
  </r>
  <r>
    <n v="23034"/>
    <x v="0"/>
    <n v="2020"/>
    <n v="11"/>
    <n v="11"/>
    <x v="315"/>
    <x v="10"/>
    <n v="2"/>
    <n v="24.6"/>
    <n v="15.5"/>
    <n v="9.1000000000000014"/>
    <x v="0"/>
  </r>
  <r>
    <n v="23034"/>
    <x v="0"/>
    <n v="2020"/>
    <n v="11"/>
    <n v="12"/>
    <x v="316"/>
    <x v="10"/>
    <n v="0"/>
    <n v="18.2"/>
    <n v="15.3"/>
    <n v="2.8999999999999986"/>
    <x v="0"/>
  </r>
  <r>
    <n v="23034"/>
    <x v="0"/>
    <n v="2020"/>
    <n v="11"/>
    <n v="13"/>
    <x v="317"/>
    <x v="10"/>
    <n v="0.6"/>
    <n v="18.600000000000001"/>
    <n v="13.4"/>
    <n v="5.2000000000000011"/>
    <x v="0"/>
  </r>
  <r>
    <n v="23034"/>
    <x v="0"/>
    <n v="2020"/>
    <n v="11"/>
    <n v="14"/>
    <x v="318"/>
    <x v="10"/>
    <n v="0"/>
    <n v="29.7"/>
    <n v="11.3"/>
    <n v="18.399999999999999"/>
    <x v="0"/>
  </r>
  <r>
    <n v="23034"/>
    <x v="0"/>
    <n v="2020"/>
    <n v="11"/>
    <n v="15"/>
    <x v="319"/>
    <x v="10"/>
    <n v="0"/>
    <n v="37.1"/>
    <n v="16.3"/>
    <n v="20.8"/>
    <x v="1"/>
  </r>
  <r>
    <n v="23034"/>
    <x v="0"/>
    <n v="2020"/>
    <n v="11"/>
    <n v="16"/>
    <x v="320"/>
    <x v="10"/>
    <n v="0"/>
    <n v="20.7"/>
    <n v="15.6"/>
    <n v="5.0999999999999996"/>
    <x v="0"/>
  </r>
  <r>
    <n v="23034"/>
    <x v="0"/>
    <n v="2020"/>
    <n v="11"/>
    <n v="17"/>
    <x v="321"/>
    <x v="10"/>
    <n v="0"/>
    <n v="25.7"/>
    <n v="9.1999999999999993"/>
    <n v="16.5"/>
    <x v="0"/>
  </r>
  <r>
    <n v="23034"/>
    <x v="0"/>
    <n v="2020"/>
    <n v="11"/>
    <n v="18"/>
    <x v="322"/>
    <x v="10"/>
    <n v="0"/>
    <n v="31.9"/>
    <n v="12.5"/>
    <n v="19.399999999999999"/>
    <x v="0"/>
  </r>
  <r>
    <n v="23034"/>
    <x v="0"/>
    <n v="2020"/>
    <n v="11"/>
    <n v="19"/>
    <x v="323"/>
    <x v="10"/>
    <n v="0"/>
    <n v="34.5"/>
    <n v="20.6"/>
    <n v="13.899999999999999"/>
    <x v="0"/>
  </r>
  <r>
    <n v="23034"/>
    <x v="0"/>
    <n v="2020"/>
    <n v="11"/>
    <n v="20"/>
    <x v="324"/>
    <x v="10"/>
    <n v="0"/>
    <n v="29.4"/>
    <n v="12.9"/>
    <n v="16.5"/>
    <x v="0"/>
  </r>
  <r>
    <n v="23034"/>
    <x v="0"/>
    <n v="2020"/>
    <n v="11"/>
    <n v="21"/>
    <x v="325"/>
    <x v="10"/>
    <n v="0"/>
    <n v="38.299999999999997"/>
    <n v="17.899999999999999"/>
    <n v="20.399999999999999"/>
    <x v="1"/>
  </r>
  <r>
    <n v="23034"/>
    <x v="0"/>
    <n v="2020"/>
    <n v="11"/>
    <n v="22"/>
    <x v="326"/>
    <x v="10"/>
    <n v="0.8"/>
    <n v="30.4"/>
    <n v="23.5"/>
    <n v="6.8999999999999986"/>
    <x v="0"/>
  </r>
  <r>
    <n v="23034"/>
    <x v="0"/>
    <n v="2020"/>
    <n v="11"/>
    <n v="23"/>
    <x v="327"/>
    <x v="10"/>
    <n v="3.2"/>
    <n v="21"/>
    <n v="15.9"/>
    <n v="5.0999999999999996"/>
    <x v="0"/>
  </r>
  <r>
    <n v="23034"/>
    <x v="0"/>
    <n v="2020"/>
    <n v="11"/>
    <n v="24"/>
    <x v="328"/>
    <x v="10"/>
    <n v="0"/>
    <n v="23.1"/>
    <n v="11.3"/>
    <n v="11.8"/>
    <x v="0"/>
  </r>
  <r>
    <n v="23034"/>
    <x v="0"/>
    <n v="2020"/>
    <n v="11"/>
    <n v="25"/>
    <x v="329"/>
    <x v="10"/>
    <n v="0"/>
    <n v="33.6"/>
    <n v="13.6"/>
    <n v="20"/>
    <x v="0"/>
  </r>
  <r>
    <n v="23034"/>
    <x v="0"/>
    <n v="2020"/>
    <n v="11"/>
    <n v="26"/>
    <x v="330"/>
    <x v="10"/>
    <n v="0"/>
    <n v="32.700000000000003"/>
    <n v="16.3"/>
    <n v="16.400000000000002"/>
    <x v="0"/>
  </r>
  <r>
    <n v="23034"/>
    <x v="0"/>
    <n v="2020"/>
    <n v="11"/>
    <n v="27"/>
    <x v="331"/>
    <x v="10"/>
    <n v="0"/>
    <n v="38.299999999999997"/>
    <n v="17.8"/>
    <n v="20.499999999999996"/>
    <x v="1"/>
  </r>
  <r>
    <n v="23034"/>
    <x v="0"/>
    <n v="2020"/>
    <n v="11"/>
    <n v="28"/>
    <x v="332"/>
    <x v="10"/>
    <n v="0"/>
    <n v="33.6"/>
    <n v="21.5"/>
    <n v="12.100000000000001"/>
    <x v="0"/>
  </r>
  <r>
    <n v="23034"/>
    <x v="0"/>
    <n v="2020"/>
    <n v="11"/>
    <n v="29"/>
    <x v="333"/>
    <x v="10"/>
    <n v="2"/>
    <n v="22.1"/>
    <n v="14.7"/>
    <n v="7.4000000000000021"/>
    <x v="0"/>
  </r>
  <r>
    <n v="23034"/>
    <x v="0"/>
    <n v="2020"/>
    <n v="11"/>
    <n v="30"/>
    <x v="334"/>
    <x v="10"/>
    <n v="0"/>
    <n v="31"/>
    <n v="11.8"/>
    <n v="19.2"/>
    <x v="0"/>
  </r>
  <r>
    <n v="23034"/>
    <x v="0"/>
    <n v="2020"/>
    <n v="12"/>
    <n v="1"/>
    <x v="335"/>
    <x v="11"/>
    <n v="3.4"/>
    <n v="20.7"/>
    <n v="17.7"/>
    <n v="3"/>
    <x v="0"/>
  </r>
  <r>
    <n v="23034"/>
    <x v="0"/>
    <n v="2020"/>
    <n v="12"/>
    <n v="2"/>
    <x v="336"/>
    <x v="11"/>
    <n v="0"/>
    <n v="21.5"/>
    <n v="13.9"/>
    <n v="7.6"/>
    <x v="0"/>
  </r>
  <r>
    <n v="23034"/>
    <x v="0"/>
    <n v="2020"/>
    <n v="12"/>
    <n v="3"/>
    <x v="337"/>
    <x v="11"/>
    <n v="0"/>
    <n v="27.5"/>
    <n v="9.6"/>
    <n v="17.899999999999999"/>
    <x v="0"/>
  </r>
  <r>
    <n v="23034"/>
    <x v="0"/>
    <n v="2020"/>
    <n v="12"/>
    <n v="4"/>
    <x v="338"/>
    <x v="11"/>
    <n v="0"/>
    <n v="31.4"/>
    <n v="11.5"/>
    <n v="19.899999999999999"/>
    <x v="0"/>
  </r>
  <r>
    <n v="23034"/>
    <x v="0"/>
    <n v="2020"/>
    <n v="12"/>
    <n v="5"/>
    <x v="339"/>
    <x v="11"/>
    <n v="0.4"/>
    <n v="23.4"/>
    <n v="21"/>
    <n v="2.3999999999999986"/>
    <x v="0"/>
  </r>
  <r>
    <n v="23034"/>
    <x v="0"/>
    <n v="2020"/>
    <n v="12"/>
    <n v="6"/>
    <x v="340"/>
    <x v="11"/>
    <n v="1.4"/>
    <n v="21.4"/>
    <n v="13.7"/>
    <n v="7.6999999999999993"/>
    <x v="0"/>
  </r>
  <r>
    <n v="23034"/>
    <x v="0"/>
    <n v="2020"/>
    <n v="12"/>
    <n v="7"/>
    <x v="341"/>
    <x v="11"/>
    <n v="2.6"/>
    <n v="18.2"/>
    <n v="12.8"/>
    <n v="5.3999999999999986"/>
    <x v="0"/>
  </r>
  <r>
    <n v="23034"/>
    <x v="0"/>
    <n v="2020"/>
    <n v="12"/>
    <n v="8"/>
    <x v="342"/>
    <x v="11"/>
    <n v="2"/>
    <n v="19"/>
    <n v="12.6"/>
    <n v="6.4"/>
    <x v="0"/>
  </r>
  <r>
    <n v="23034"/>
    <x v="0"/>
    <n v="2020"/>
    <n v="12"/>
    <n v="9"/>
    <x v="343"/>
    <x v="11"/>
    <n v="0"/>
    <n v="24.8"/>
    <n v="9.6999999999999993"/>
    <n v="15.100000000000001"/>
    <x v="0"/>
  </r>
  <r>
    <n v="23034"/>
    <x v="0"/>
    <n v="2020"/>
    <n v="12"/>
    <n v="10"/>
    <x v="344"/>
    <x v="11"/>
    <n v="0"/>
    <n v="25.9"/>
    <n v="14.1"/>
    <n v="11.799999999999999"/>
    <x v="0"/>
  </r>
  <r>
    <n v="23034"/>
    <x v="0"/>
    <n v="2020"/>
    <n v="12"/>
    <n v="11"/>
    <x v="345"/>
    <x v="11"/>
    <n v="0"/>
    <n v="30.2"/>
    <n v="11.2"/>
    <n v="19"/>
    <x v="0"/>
  </r>
  <r>
    <n v="23034"/>
    <x v="0"/>
    <n v="2020"/>
    <n v="12"/>
    <n v="12"/>
    <x v="346"/>
    <x v="11"/>
    <n v="0"/>
    <n v="37.1"/>
    <n v="18"/>
    <n v="19.100000000000001"/>
    <x v="1"/>
  </r>
  <r>
    <n v="23034"/>
    <x v="0"/>
    <n v="2020"/>
    <n v="12"/>
    <n v="13"/>
    <x v="347"/>
    <x v="11"/>
    <n v="0"/>
    <n v="31.7"/>
    <n v="24.3"/>
    <n v="7.3999999999999986"/>
    <x v="0"/>
  </r>
  <r>
    <n v="23034"/>
    <x v="0"/>
    <n v="2020"/>
    <n v="12"/>
    <n v="14"/>
    <x v="348"/>
    <x v="11"/>
    <n v="0"/>
    <n v="36.700000000000003"/>
    <n v="24.2"/>
    <n v="12.500000000000004"/>
    <x v="1"/>
  </r>
  <r>
    <n v="23034"/>
    <x v="0"/>
    <n v="2020"/>
    <n v="12"/>
    <n v="15"/>
    <x v="349"/>
    <x v="11"/>
    <n v="0"/>
    <n v="30"/>
    <n v="20"/>
    <n v="10"/>
    <x v="0"/>
  </r>
  <r>
    <n v="23034"/>
    <x v="0"/>
    <n v="2020"/>
    <n v="12"/>
    <n v="16"/>
    <x v="350"/>
    <x v="11"/>
    <n v="0"/>
    <n v="26.4"/>
    <n v="17"/>
    <n v="9.3999999999999986"/>
    <x v="0"/>
  </r>
  <r>
    <n v="23034"/>
    <x v="0"/>
    <n v="2020"/>
    <n v="12"/>
    <n v="17"/>
    <x v="351"/>
    <x v="11"/>
    <n v="0"/>
    <n v="20.8"/>
    <n v="16.2"/>
    <n v="4.6000000000000014"/>
    <x v="0"/>
  </r>
  <r>
    <n v="23034"/>
    <x v="0"/>
    <n v="2020"/>
    <n v="12"/>
    <n v="18"/>
    <x v="352"/>
    <x v="11"/>
    <n v="0"/>
    <n v="20.8"/>
    <n v="12.9"/>
    <n v="7.9"/>
    <x v="0"/>
  </r>
  <r>
    <n v="23034"/>
    <x v="0"/>
    <n v="2020"/>
    <n v="12"/>
    <n v="19"/>
    <x v="353"/>
    <x v="11"/>
    <n v="0"/>
    <n v="23.8"/>
    <n v="11"/>
    <n v="12.8"/>
    <x v="0"/>
  </r>
  <r>
    <n v="23034"/>
    <x v="0"/>
    <n v="2020"/>
    <n v="12"/>
    <n v="20"/>
    <x v="354"/>
    <x v="11"/>
    <n v="0"/>
    <n v="24.8"/>
    <n v="11.5"/>
    <n v="13.3"/>
    <x v="0"/>
  </r>
  <r>
    <n v="23034"/>
    <x v="0"/>
    <n v="2020"/>
    <n v="12"/>
    <n v="21"/>
    <x v="355"/>
    <x v="11"/>
    <n v="1.2"/>
    <n v="20.9"/>
    <n v="16.7"/>
    <n v="4.1999999999999993"/>
    <x v="0"/>
  </r>
  <r>
    <n v="23034"/>
    <x v="0"/>
    <n v="2020"/>
    <n v="12"/>
    <n v="22"/>
    <x v="356"/>
    <x v="11"/>
    <n v="6"/>
    <n v="21.7"/>
    <n v="12.5"/>
    <n v="9.1999999999999993"/>
    <x v="0"/>
  </r>
  <r>
    <n v="23034"/>
    <x v="0"/>
    <n v="2020"/>
    <n v="12"/>
    <n v="23"/>
    <x v="357"/>
    <x v="11"/>
    <n v="0"/>
    <n v="22"/>
    <n v="12.7"/>
    <n v="9.3000000000000007"/>
    <x v="0"/>
  </r>
  <r>
    <n v="23034"/>
    <x v="0"/>
    <n v="2020"/>
    <n v="12"/>
    <n v="24"/>
    <x v="358"/>
    <x v="11"/>
    <n v="0"/>
    <n v="26.5"/>
    <n v="12.3"/>
    <n v="14.2"/>
    <x v="0"/>
  </r>
  <r>
    <n v="23034"/>
    <x v="0"/>
    <n v="2020"/>
    <n v="12"/>
    <n v="25"/>
    <x v="359"/>
    <x v="11"/>
    <n v="0"/>
    <n v="25.8"/>
    <n v="12.9"/>
    <n v="12.9"/>
    <x v="0"/>
  </r>
  <r>
    <n v="23034"/>
    <x v="0"/>
    <n v="2020"/>
    <n v="12"/>
    <n v="26"/>
    <x v="360"/>
    <x v="11"/>
    <n v="0"/>
    <n v="33.9"/>
    <n v="13.4"/>
    <n v="20.5"/>
    <x v="0"/>
  </r>
  <r>
    <n v="23034"/>
    <x v="0"/>
    <n v="2020"/>
    <n v="12"/>
    <n v="27"/>
    <x v="361"/>
    <x v="11"/>
    <n v="0"/>
    <n v="24.5"/>
    <n v="21.5"/>
    <n v="3"/>
    <x v="0"/>
  </r>
  <r>
    <n v="23034"/>
    <x v="0"/>
    <n v="2020"/>
    <n v="12"/>
    <n v="28"/>
    <x v="362"/>
    <x v="11"/>
    <n v="0"/>
    <n v="20.8"/>
    <n v="9.4"/>
    <n v="11.4"/>
    <x v="0"/>
  </r>
  <r>
    <n v="23034"/>
    <x v="0"/>
    <n v="2020"/>
    <n v="12"/>
    <n v="29"/>
    <x v="363"/>
    <x v="11"/>
    <n v="0"/>
    <n v="21.8"/>
    <n v="11.2"/>
    <n v="10.600000000000001"/>
    <x v="0"/>
  </r>
  <r>
    <n v="23034"/>
    <x v="0"/>
    <n v="2020"/>
    <n v="12"/>
    <n v="30"/>
    <x v="364"/>
    <x v="11"/>
    <n v="0"/>
    <n v="28.3"/>
    <n v="14.2"/>
    <n v="14.100000000000001"/>
    <x v="0"/>
  </r>
  <r>
    <n v="23034"/>
    <x v="0"/>
    <n v="2020"/>
    <n v="12"/>
    <n v="31"/>
    <x v="365"/>
    <x v="11"/>
    <n v="0"/>
    <n v="29.7"/>
    <n v="16.2"/>
    <n v="13.5"/>
    <x v="0"/>
  </r>
  <r>
    <n v="86338"/>
    <x v="1"/>
    <n v="2020"/>
    <n v="1"/>
    <n v="1"/>
    <x v="0"/>
    <x v="0"/>
    <n v="0"/>
    <n v="24.9"/>
    <n v="11.8"/>
    <n v="13.099999999999998"/>
    <x v="0"/>
  </r>
  <r>
    <n v="86338"/>
    <x v="1"/>
    <n v="2020"/>
    <n v="1"/>
    <n v="2"/>
    <x v="1"/>
    <x v="0"/>
    <n v="0"/>
    <n v="25"/>
    <n v="12.8"/>
    <n v="12.2"/>
    <x v="0"/>
  </r>
  <r>
    <n v="86338"/>
    <x v="1"/>
    <n v="2020"/>
    <n v="1"/>
    <n v="3"/>
    <x v="2"/>
    <x v="0"/>
    <n v="0"/>
    <n v="36.6"/>
    <n v="13.7"/>
    <n v="22.900000000000002"/>
    <x v="1"/>
  </r>
  <r>
    <n v="86338"/>
    <x v="1"/>
    <n v="2020"/>
    <n v="1"/>
    <n v="4"/>
    <x v="3"/>
    <x v="0"/>
    <n v="0"/>
    <n v="26.8"/>
    <n v="18.600000000000001"/>
    <n v="8.1999999999999993"/>
    <x v="0"/>
  </r>
  <r>
    <n v="86338"/>
    <x v="1"/>
    <n v="2020"/>
    <n v="1"/>
    <n v="5"/>
    <x v="4"/>
    <x v="0"/>
    <n v="2.2000000000000002"/>
    <n v="16.7"/>
    <n v="12.7"/>
    <n v="4"/>
    <x v="0"/>
  </r>
  <r>
    <n v="86338"/>
    <x v="1"/>
    <n v="2020"/>
    <n v="1"/>
    <n v="6"/>
    <x v="5"/>
    <x v="0"/>
    <n v="8.1999999999999993"/>
    <n v="18"/>
    <n v="11.9"/>
    <n v="6.1"/>
    <x v="0"/>
  </r>
  <r>
    <n v="86338"/>
    <x v="1"/>
    <n v="2020"/>
    <n v="1"/>
    <n v="7"/>
    <x v="6"/>
    <x v="0"/>
    <n v="1.2"/>
    <n v="20.100000000000001"/>
    <n v="12.6"/>
    <n v="7.5000000000000018"/>
    <x v="0"/>
  </r>
  <r>
    <n v="86338"/>
    <x v="1"/>
    <n v="2020"/>
    <n v="1"/>
    <n v="8"/>
    <x v="7"/>
    <x v="0"/>
    <n v="0"/>
    <n v="23.8"/>
    <n v="16.8"/>
    <n v="7"/>
    <x v="0"/>
  </r>
  <r>
    <n v="86338"/>
    <x v="1"/>
    <n v="2020"/>
    <n v="1"/>
    <n v="9"/>
    <x v="8"/>
    <x v="0"/>
    <n v="0"/>
    <n v="31.9"/>
    <n v="17.899999999999999"/>
    <n v="14"/>
    <x v="0"/>
  </r>
  <r>
    <n v="86338"/>
    <x v="1"/>
    <n v="2020"/>
    <n v="1"/>
    <n v="10"/>
    <x v="9"/>
    <x v="0"/>
    <n v="0"/>
    <n v="32.9"/>
    <n v="20.100000000000001"/>
    <n v="12.799999999999997"/>
    <x v="0"/>
  </r>
  <r>
    <n v="86338"/>
    <x v="1"/>
    <n v="2020"/>
    <n v="1"/>
    <n v="11"/>
    <x v="10"/>
    <x v="0"/>
    <n v="15.6"/>
    <n v="19.3"/>
    <n v="13.5"/>
    <n v="5.8000000000000007"/>
    <x v="0"/>
  </r>
  <r>
    <n v="86338"/>
    <x v="1"/>
    <n v="2020"/>
    <n v="1"/>
    <n v="12"/>
    <x v="11"/>
    <x v="0"/>
    <n v="0"/>
    <n v="19.899999999999999"/>
    <n v="14.2"/>
    <n v="5.6999999999999993"/>
    <x v="0"/>
  </r>
  <r>
    <n v="86338"/>
    <x v="1"/>
    <n v="2020"/>
    <n v="1"/>
    <n v="13"/>
    <x v="12"/>
    <x v="0"/>
    <n v="0"/>
    <n v="32.200000000000003"/>
    <n v="12.7"/>
    <n v="19.500000000000004"/>
    <x v="0"/>
  </r>
  <r>
    <n v="86338"/>
    <x v="1"/>
    <n v="2020"/>
    <n v="1"/>
    <n v="14"/>
    <x v="13"/>
    <x v="0"/>
    <n v="0"/>
    <n v="33.799999999999997"/>
    <n v="16.7"/>
    <n v="17.099999999999998"/>
    <x v="0"/>
  </r>
  <r>
    <n v="86338"/>
    <x v="1"/>
    <n v="2020"/>
    <n v="1"/>
    <n v="15"/>
    <x v="14"/>
    <x v="0"/>
    <n v="0"/>
    <n v="36.799999999999997"/>
    <n v="19.5"/>
    <n v="17.299999999999997"/>
    <x v="1"/>
  </r>
  <r>
    <n v="86338"/>
    <x v="1"/>
    <n v="2020"/>
    <n v="1"/>
    <n v="16"/>
    <x v="15"/>
    <x v="0"/>
    <n v="19.600000000000001"/>
    <n v="19.600000000000001"/>
    <n v="15.7"/>
    <n v="3.9000000000000021"/>
    <x v="0"/>
  </r>
  <r>
    <n v="86338"/>
    <x v="1"/>
    <n v="2020"/>
    <n v="1"/>
    <n v="17"/>
    <x v="16"/>
    <x v="0"/>
    <n v="0"/>
    <n v="24.8"/>
    <n v="14.4"/>
    <n v="10.4"/>
    <x v="0"/>
  </r>
  <r>
    <n v="86338"/>
    <x v="1"/>
    <n v="2020"/>
    <n v="1"/>
    <n v="18"/>
    <x v="17"/>
    <x v="0"/>
    <n v="0"/>
    <n v="29.4"/>
    <n v="13.9"/>
    <n v="15.499999999999998"/>
    <x v="0"/>
  </r>
  <r>
    <n v="86338"/>
    <x v="1"/>
    <n v="2020"/>
    <n v="1"/>
    <n v="19"/>
    <x v="18"/>
    <x v="0"/>
    <n v="0"/>
    <n v="25.5"/>
    <n v="17.5"/>
    <n v="8"/>
    <x v="0"/>
  </r>
  <r>
    <n v="86338"/>
    <x v="1"/>
    <n v="2020"/>
    <n v="1"/>
    <n v="20"/>
    <x v="19"/>
    <x v="0"/>
    <n v="0.4"/>
    <n v="21.8"/>
    <n v="19.100000000000001"/>
    <n v="2.6999999999999993"/>
    <x v="0"/>
  </r>
  <r>
    <n v="86338"/>
    <x v="1"/>
    <n v="2020"/>
    <n v="1"/>
    <n v="21"/>
    <x v="20"/>
    <x v="0"/>
    <n v="44"/>
    <n v="23.5"/>
    <n v="14.8"/>
    <n v="8.6999999999999993"/>
    <x v="2"/>
  </r>
  <r>
    <n v="86338"/>
    <x v="1"/>
    <n v="2020"/>
    <n v="1"/>
    <n v="22"/>
    <x v="21"/>
    <x v="0"/>
    <n v="0"/>
    <n v="31.7"/>
    <n v="14.1"/>
    <n v="17.600000000000001"/>
    <x v="0"/>
  </r>
  <r>
    <n v="86338"/>
    <x v="1"/>
    <n v="2020"/>
    <n v="1"/>
    <n v="23"/>
    <x v="22"/>
    <x v="0"/>
    <n v="22.8"/>
    <n v="22.6"/>
    <n v="12.9"/>
    <n v="9.7000000000000011"/>
    <x v="2"/>
  </r>
  <r>
    <n v="86338"/>
    <x v="1"/>
    <n v="2020"/>
    <n v="1"/>
    <n v="24"/>
    <x v="23"/>
    <x v="0"/>
    <n v="1.2"/>
    <n v="24.1"/>
    <n v="11.7"/>
    <n v="12.400000000000002"/>
    <x v="0"/>
  </r>
  <r>
    <n v="86338"/>
    <x v="1"/>
    <n v="2020"/>
    <n v="1"/>
    <n v="25"/>
    <x v="24"/>
    <x v="0"/>
    <n v="0"/>
    <n v="27.4"/>
    <n v="13"/>
    <n v="14.399999999999999"/>
    <x v="0"/>
  </r>
  <r>
    <n v="86338"/>
    <x v="1"/>
    <n v="2020"/>
    <n v="1"/>
    <n v="26"/>
    <x v="25"/>
    <x v="0"/>
    <n v="0"/>
    <n v="23.6"/>
    <n v="15.8"/>
    <n v="7.8000000000000007"/>
    <x v="0"/>
  </r>
  <r>
    <n v="86338"/>
    <x v="1"/>
    <n v="2020"/>
    <n v="1"/>
    <n v="27"/>
    <x v="26"/>
    <x v="0"/>
    <n v="0"/>
    <n v="23.1"/>
    <n v="12.8"/>
    <n v="10.3"/>
    <x v="0"/>
  </r>
  <r>
    <n v="86338"/>
    <x v="1"/>
    <n v="2020"/>
    <n v="1"/>
    <n v="28"/>
    <x v="27"/>
    <x v="0"/>
    <n v="0"/>
    <n v="25.4"/>
    <n v="13.6"/>
    <n v="11.799999999999999"/>
    <x v="0"/>
  </r>
  <r>
    <n v="86338"/>
    <x v="1"/>
    <n v="2020"/>
    <n v="1"/>
    <n v="29"/>
    <x v="28"/>
    <x v="0"/>
    <n v="0"/>
    <n v="31.5"/>
    <n v="15.2"/>
    <n v="16.3"/>
    <x v="0"/>
  </r>
  <r>
    <n v="86338"/>
    <x v="1"/>
    <n v="2020"/>
    <n v="1"/>
    <n v="30"/>
    <x v="29"/>
    <x v="0"/>
    <n v="0"/>
    <n v="39.4"/>
    <n v="16.399999999999999"/>
    <n v="23"/>
    <x v="1"/>
  </r>
  <r>
    <n v="86338"/>
    <x v="1"/>
    <n v="2020"/>
    <n v="1"/>
    <n v="31"/>
    <x v="30"/>
    <x v="0"/>
    <n v="0"/>
    <n v="42.9"/>
    <n v="21.5"/>
    <n v="21.4"/>
    <x v="1"/>
  </r>
  <r>
    <n v="86338"/>
    <x v="1"/>
    <n v="2020"/>
    <n v="2"/>
    <n v="1"/>
    <x v="31"/>
    <x v="1"/>
    <n v="0.8"/>
    <n v="29.3"/>
    <n v="23.5"/>
    <n v="5.8000000000000007"/>
    <x v="0"/>
  </r>
  <r>
    <n v="86338"/>
    <x v="1"/>
    <n v="2020"/>
    <n v="2"/>
    <n v="2"/>
    <x v="32"/>
    <x v="1"/>
    <n v="14.8"/>
    <n v="25.1"/>
    <n v="14.2"/>
    <n v="10.900000000000002"/>
    <x v="0"/>
  </r>
  <r>
    <n v="86338"/>
    <x v="1"/>
    <n v="2020"/>
    <n v="2"/>
    <n v="3"/>
    <x v="33"/>
    <x v="1"/>
    <n v="0"/>
    <n v="17.7"/>
    <n v="13.2"/>
    <n v="4.5"/>
    <x v="0"/>
  </r>
  <r>
    <n v="86338"/>
    <x v="1"/>
    <n v="2020"/>
    <n v="2"/>
    <n v="4"/>
    <x v="34"/>
    <x v="1"/>
    <n v="0"/>
    <n v="19.7"/>
    <n v="11.3"/>
    <n v="8.3999999999999986"/>
    <x v="0"/>
  </r>
  <r>
    <n v="86338"/>
    <x v="1"/>
    <n v="2020"/>
    <n v="2"/>
    <n v="5"/>
    <x v="35"/>
    <x v="1"/>
    <n v="0"/>
    <n v="20.100000000000001"/>
    <n v="10.8"/>
    <n v="9.3000000000000007"/>
    <x v="0"/>
  </r>
  <r>
    <n v="86338"/>
    <x v="1"/>
    <n v="2020"/>
    <n v="2"/>
    <n v="6"/>
    <x v="36"/>
    <x v="1"/>
    <n v="0"/>
    <n v="25.5"/>
    <n v="13.7"/>
    <n v="11.8"/>
    <x v="0"/>
  </r>
  <r>
    <n v="86338"/>
    <x v="1"/>
    <n v="2020"/>
    <n v="2"/>
    <n v="7"/>
    <x v="37"/>
    <x v="1"/>
    <n v="0"/>
    <n v="23.2"/>
    <n v="16.5"/>
    <n v="6.6999999999999993"/>
    <x v="0"/>
  </r>
  <r>
    <n v="86338"/>
    <x v="1"/>
    <n v="2020"/>
    <n v="2"/>
    <n v="8"/>
    <x v="38"/>
    <x v="1"/>
    <n v="0"/>
    <n v="29.4"/>
    <n v="17.399999999999999"/>
    <n v="12"/>
    <x v="0"/>
  </r>
  <r>
    <n v="86338"/>
    <x v="1"/>
    <n v="2020"/>
    <n v="2"/>
    <n v="9"/>
    <x v="39"/>
    <x v="1"/>
    <n v="0"/>
    <n v="28.2"/>
    <n v="19.600000000000001"/>
    <n v="8.5999999999999979"/>
    <x v="0"/>
  </r>
  <r>
    <n v="86338"/>
    <x v="1"/>
    <n v="2020"/>
    <n v="2"/>
    <n v="10"/>
    <x v="40"/>
    <x v="1"/>
    <n v="0.6"/>
    <n v="27.7"/>
    <n v="18.5"/>
    <n v="9.1999999999999993"/>
    <x v="0"/>
  </r>
  <r>
    <n v="86338"/>
    <x v="1"/>
    <n v="2020"/>
    <n v="2"/>
    <n v="11"/>
    <x v="41"/>
    <x v="1"/>
    <n v="0"/>
    <n v="25.9"/>
    <n v="19.5"/>
    <n v="6.3999999999999986"/>
    <x v="0"/>
  </r>
  <r>
    <n v="86338"/>
    <x v="1"/>
    <n v="2020"/>
    <n v="2"/>
    <n v="12"/>
    <x v="42"/>
    <x v="1"/>
    <n v="0"/>
    <n v="27.7"/>
    <n v="19.100000000000001"/>
    <n v="8.5999999999999979"/>
    <x v="0"/>
  </r>
  <r>
    <n v="86338"/>
    <x v="1"/>
    <n v="2020"/>
    <n v="2"/>
    <n v="13"/>
    <x v="43"/>
    <x v="1"/>
    <n v="0"/>
    <n v="31.7"/>
    <n v="19.399999999999999"/>
    <n v="12.3"/>
    <x v="0"/>
  </r>
  <r>
    <n v="86338"/>
    <x v="1"/>
    <n v="2020"/>
    <n v="2"/>
    <n v="14"/>
    <x v="44"/>
    <x v="1"/>
    <n v="0"/>
    <n v="33.700000000000003"/>
    <n v="20.3"/>
    <n v="13.400000000000002"/>
    <x v="0"/>
  </r>
  <r>
    <n v="86338"/>
    <x v="1"/>
    <n v="2020"/>
    <n v="2"/>
    <n v="15"/>
    <x v="45"/>
    <x v="1"/>
    <n v="5.4"/>
    <n v="19.3"/>
    <n v="18.899999999999999"/>
    <n v="0.40000000000000213"/>
    <x v="0"/>
  </r>
  <r>
    <n v="86338"/>
    <x v="1"/>
    <n v="2020"/>
    <n v="2"/>
    <n v="16"/>
    <x v="46"/>
    <x v="1"/>
    <n v="2.8"/>
    <n v="26.4"/>
    <n v="16.899999999999999"/>
    <n v="9.5"/>
    <x v="0"/>
  </r>
  <r>
    <n v="86338"/>
    <x v="1"/>
    <n v="2020"/>
    <n v="2"/>
    <n v="17"/>
    <x v="47"/>
    <x v="1"/>
    <n v="0"/>
    <n v="25.6"/>
    <n v="15.2"/>
    <n v="10.400000000000002"/>
    <x v="0"/>
  </r>
  <r>
    <n v="86338"/>
    <x v="1"/>
    <n v="2020"/>
    <n v="2"/>
    <n v="18"/>
    <x v="48"/>
    <x v="1"/>
    <n v="0"/>
    <n v="21.8"/>
    <n v="17.600000000000001"/>
    <n v="4.1999999999999993"/>
    <x v="0"/>
  </r>
  <r>
    <n v="86338"/>
    <x v="1"/>
    <n v="2020"/>
    <n v="2"/>
    <n v="19"/>
    <x v="49"/>
    <x v="1"/>
    <n v="38"/>
    <n v="19.7"/>
    <n v="13.3"/>
    <n v="6.3999999999999986"/>
    <x v="2"/>
  </r>
  <r>
    <n v="86338"/>
    <x v="1"/>
    <n v="2020"/>
    <n v="2"/>
    <n v="20"/>
    <x v="50"/>
    <x v="1"/>
    <n v="3.2"/>
    <n v="18.7"/>
    <n v="14.2"/>
    <n v="4.5"/>
    <x v="0"/>
  </r>
  <r>
    <n v="86338"/>
    <x v="1"/>
    <n v="2020"/>
    <n v="2"/>
    <n v="21"/>
    <x v="51"/>
    <x v="1"/>
    <n v="2.8"/>
    <n v="19.600000000000001"/>
    <n v="13.5"/>
    <n v="6.1000000000000014"/>
    <x v="0"/>
  </r>
  <r>
    <n v="86338"/>
    <x v="1"/>
    <n v="2020"/>
    <n v="2"/>
    <n v="22"/>
    <x v="52"/>
    <x v="1"/>
    <n v="0"/>
    <n v="21.1"/>
    <n v="11.4"/>
    <n v="9.7000000000000011"/>
    <x v="0"/>
  </r>
  <r>
    <n v="86338"/>
    <x v="1"/>
    <n v="2020"/>
    <n v="2"/>
    <n v="23"/>
    <x v="53"/>
    <x v="1"/>
    <n v="0"/>
    <n v="34"/>
    <n v="13.3"/>
    <n v="20.7"/>
    <x v="0"/>
  </r>
  <r>
    <n v="86338"/>
    <x v="1"/>
    <n v="2020"/>
    <n v="2"/>
    <n v="24"/>
    <x v="54"/>
    <x v="1"/>
    <n v="0"/>
    <n v="23.7"/>
    <n v="16.8"/>
    <n v="6.8999999999999986"/>
    <x v="0"/>
  </r>
  <r>
    <n v="86338"/>
    <x v="1"/>
    <n v="2020"/>
    <n v="2"/>
    <n v="25"/>
    <x v="55"/>
    <x v="1"/>
    <n v="3.6"/>
    <n v="31.6"/>
    <n v="18.399999999999999"/>
    <n v="13.200000000000003"/>
    <x v="0"/>
  </r>
  <r>
    <n v="86338"/>
    <x v="1"/>
    <n v="2020"/>
    <n v="2"/>
    <n v="26"/>
    <x v="56"/>
    <x v="1"/>
    <n v="4"/>
    <n v="19.2"/>
    <n v="16.2"/>
    <n v="3"/>
    <x v="0"/>
  </r>
  <r>
    <n v="86338"/>
    <x v="1"/>
    <n v="2020"/>
    <n v="2"/>
    <n v="27"/>
    <x v="57"/>
    <x v="1"/>
    <n v="0.2"/>
    <n v="19.7"/>
    <n v="11"/>
    <n v="8.6999999999999993"/>
    <x v="0"/>
  </r>
  <r>
    <n v="86338"/>
    <x v="1"/>
    <n v="2020"/>
    <n v="2"/>
    <n v="28"/>
    <x v="58"/>
    <x v="1"/>
    <n v="0"/>
    <n v="20.100000000000001"/>
    <n v="13.1"/>
    <n v="7.0000000000000018"/>
    <x v="0"/>
  </r>
  <r>
    <n v="86338"/>
    <x v="1"/>
    <n v="2020"/>
    <n v="2"/>
    <n v="29"/>
    <x v="59"/>
    <x v="1"/>
    <n v="0"/>
    <n v="22.4"/>
    <n v="14.7"/>
    <n v="7.6999999999999993"/>
    <x v="0"/>
  </r>
  <r>
    <n v="86338"/>
    <x v="1"/>
    <n v="2020"/>
    <n v="3"/>
    <n v="1"/>
    <x v="60"/>
    <x v="2"/>
    <n v="0"/>
    <n v="32.1"/>
    <n v="13.2"/>
    <n v="18.900000000000002"/>
    <x v="0"/>
  </r>
  <r>
    <n v="86338"/>
    <x v="1"/>
    <n v="2020"/>
    <n v="3"/>
    <n v="2"/>
    <x v="61"/>
    <x v="2"/>
    <n v="3"/>
    <n v="18.399999999999999"/>
    <n v="14.2"/>
    <n v="4.1999999999999993"/>
    <x v="0"/>
  </r>
  <r>
    <n v="86338"/>
    <x v="1"/>
    <n v="2020"/>
    <n v="3"/>
    <n v="3"/>
    <x v="62"/>
    <x v="2"/>
    <n v="0"/>
    <n v="19.5"/>
    <n v="14.7"/>
    <n v="4.8000000000000007"/>
    <x v="0"/>
  </r>
  <r>
    <n v="86338"/>
    <x v="1"/>
    <n v="2020"/>
    <n v="3"/>
    <n v="4"/>
    <x v="63"/>
    <x v="2"/>
    <n v="0"/>
    <n v="23.5"/>
    <n v="13.6"/>
    <n v="9.9"/>
    <x v="0"/>
  </r>
  <r>
    <n v="86338"/>
    <x v="1"/>
    <n v="2020"/>
    <n v="3"/>
    <n v="5"/>
    <x v="64"/>
    <x v="2"/>
    <n v="54.6"/>
    <n v="20.3"/>
    <n v="15.4"/>
    <n v="4.9000000000000004"/>
    <x v="2"/>
  </r>
  <r>
    <n v="86338"/>
    <x v="1"/>
    <n v="2020"/>
    <n v="3"/>
    <n v="6"/>
    <x v="65"/>
    <x v="2"/>
    <n v="7"/>
    <n v="19"/>
    <n v="15.9"/>
    <n v="3.0999999999999996"/>
    <x v="0"/>
  </r>
  <r>
    <n v="86338"/>
    <x v="1"/>
    <n v="2020"/>
    <n v="3"/>
    <n v="7"/>
    <x v="66"/>
    <x v="2"/>
    <n v="0.2"/>
    <n v="20"/>
    <n v="15.4"/>
    <n v="4.5999999999999996"/>
    <x v="0"/>
  </r>
  <r>
    <n v="86338"/>
    <x v="1"/>
    <n v="2020"/>
    <n v="3"/>
    <n v="8"/>
    <x v="67"/>
    <x v="2"/>
    <n v="0"/>
    <n v="22.4"/>
    <n v="13.9"/>
    <n v="8.4999999999999982"/>
    <x v="0"/>
  </r>
  <r>
    <n v="86338"/>
    <x v="1"/>
    <n v="2020"/>
    <n v="3"/>
    <n v="9"/>
    <x v="68"/>
    <x v="2"/>
    <n v="0"/>
    <n v="21"/>
    <n v="12.3"/>
    <n v="8.6999999999999993"/>
    <x v="0"/>
  </r>
  <r>
    <n v="86338"/>
    <x v="1"/>
    <n v="2020"/>
    <n v="3"/>
    <n v="10"/>
    <x v="69"/>
    <x v="2"/>
    <n v="0"/>
    <n v="22.3"/>
    <n v="10.3"/>
    <n v="12"/>
    <x v="0"/>
  </r>
  <r>
    <n v="86338"/>
    <x v="1"/>
    <n v="2020"/>
    <n v="3"/>
    <n v="11"/>
    <x v="70"/>
    <x v="2"/>
    <n v="0"/>
    <n v="29.5"/>
    <n v="12.6"/>
    <n v="16.899999999999999"/>
    <x v="0"/>
  </r>
  <r>
    <n v="86338"/>
    <x v="1"/>
    <n v="2020"/>
    <n v="3"/>
    <n v="12"/>
    <x v="71"/>
    <x v="2"/>
    <n v="0"/>
    <n v="29.5"/>
    <n v="16.600000000000001"/>
    <n v="12.899999999999999"/>
    <x v="0"/>
  </r>
  <r>
    <n v="86338"/>
    <x v="1"/>
    <n v="2020"/>
    <n v="3"/>
    <n v="13"/>
    <x v="72"/>
    <x v="2"/>
    <n v="0"/>
    <n v="26.8"/>
    <n v="19.100000000000001"/>
    <n v="7.6999999999999993"/>
    <x v="0"/>
  </r>
  <r>
    <n v="86338"/>
    <x v="1"/>
    <n v="2020"/>
    <n v="3"/>
    <n v="14"/>
    <x v="73"/>
    <x v="2"/>
    <n v="0.6"/>
    <n v="17.899999999999999"/>
    <n v="13.1"/>
    <n v="4.7999999999999989"/>
    <x v="0"/>
  </r>
  <r>
    <n v="86338"/>
    <x v="1"/>
    <n v="2020"/>
    <n v="3"/>
    <n v="15"/>
    <x v="74"/>
    <x v="2"/>
    <n v="0"/>
    <n v="18.8"/>
    <n v="12.7"/>
    <n v="6.1000000000000014"/>
    <x v="0"/>
  </r>
  <r>
    <n v="86338"/>
    <x v="1"/>
    <n v="2020"/>
    <n v="3"/>
    <n v="16"/>
    <x v="75"/>
    <x v="2"/>
    <n v="0"/>
    <n v="26.5"/>
    <n v="9.3000000000000007"/>
    <n v="17.2"/>
    <x v="0"/>
  </r>
  <r>
    <n v="86338"/>
    <x v="1"/>
    <n v="2020"/>
    <n v="3"/>
    <n v="17"/>
    <x v="76"/>
    <x v="2"/>
    <n v="0"/>
    <n v="28.2"/>
    <n v="11.6"/>
    <n v="16.600000000000001"/>
    <x v="0"/>
  </r>
  <r>
    <n v="86338"/>
    <x v="1"/>
    <n v="2020"/>
    <n v="3"/>
    <n v="18"/>
    <x v="77"/>
    <x v="2"/>
    <n v="0"/>
    <n v="28.3"/>
    <n v="17.7"/>
    <n v="10.600000000000001"/>
    <x v="0"/>
  </r>
  <r>
    <n v="86338"/>
    <x v="1"/>
    <n v="2020"/>
    <n v="3"/>
    <n v="19"/>
    <x v="78"/>
    <x v="2"/>
    <n v="0"/>
    <n v="30.4"/>
    <n v="18.7"/>
    <n v="11.7"/>
    <x v="0"/>
  </r>
  <r>
    <n v="86338"/>
    <x v="1"/>
    <n v="2020"/>
    <n v="3"/>
    <n v="20"/>
    <x v="79"/>
    <x v="2"/>
    <n v="0"/>
    <n v="22.7"/>
    <n v="16.100000000000001"/>
    <n v="6.5999999999999979"/>
    <x v="0"/>
  </r>
  <r>
    <n v="86338"/>
    <x v="1"/>
    <n v="2020"/>
    <n v="3"/>
    <n v="21"/>
    <x v="80"/>
    <x v="2"/>
    <n v="0"/>
    <n v="18.399999999999999"/>
    <n v="14.6"/>
    <n v="3.7999999999999989"/>
    <x v="0"/>
  </r>
  <r>
    <n v="86338"/>
    <x v="1"/>
    <n v="2020"/>
    <n v="3"/>
    <n v="22"/>
    <x v="81"/>
    <x v="2"/>
    <n v="0"/>
    <n v="18.3"/>
    <n v="12.1"/>
    <n v="6.2000000000000011"/>
    <x v="0"/>
  </r>
  <r>
    <n v="86338"/>
    <x v="1"/>
    <n v="2020"/>
    <n v="3"/>
    <n v="23"/>
    <x v="82"/>
    <x v="2"/>
    <n v="0.4"/>
    <n v="17.100000000000001"/>
    <n v="12.7"/>
    <n v="4.4000000000000021"/>
    <x v="0"/>
  </r>
  <r>
    <n v="86338"/>
    <x v="1"/>
    <n v="2020"/>
    <n v="3"/>
    <n v="24"/>
    <x v="83"/>
    <x v="2"/>
    <n v="0"/>
    <n v="17.899999999999999"/>
    <n v="8.5"/>
    <n v="9.3999999999999986"/>
    <x v="0"/>
  </r>
  <r>
    <n v="86338"/>
    <x v="1"/>
    <n v="2020"/>
    <n v="3"/>
    <n v="25"/>
    <x v="84"/>
    <x v="2"/>
    <n v="0"/>
    <n v="17.5"/>
    <n v="10.8"/>
    <n v="6.6999999999999993"/>
    <x v="0"/>
  </r>
  <r>
    <n v="86338"/>
    <x v="1"/>
    <n v="2020"/>
    <n v="3"/>
    <n v="26"/>
    <x v="85"/>
    <x v="2"/>
    <n v="0"/>
    <n v="19.8"/>
    <n v="13.7"/>
    <n v="6.1000000000000014"/>
    <x v="0"/>
  </r>
  <r>
    <n v="86338"/>
    <x v="1"/>
    <n v="2020"/>
    <n v="3"/>
    <n v="27"/>
    <x v="86"/>
    <x v="2"/>
    <n v="0"/>
    <n v="27.6"/>
    <n v="13.6"/>
    <n v="14.000000000000002"/>
    <x v="0"/>
  </r>
  <r>
    <n v="86338"/>
    <x v="1"/>
    <n v="2020"/>
    <n v="3"/>
    <n v="28"/>
    <x v="87"/>
    <x v="2"/>
    <n v="0"/>
    <n v="27.5"/>
    <n v="14.8"/>
    <n v="12.7"/>
    <x v="0"/>
  </r>
  <r>
    <n v="86338"/>
    <x v="1"/>
    <n v="2020"/>
    <n v="3"/>
    <n v="29"/>
    <x v="88"/>
    <x v="2"/>
    <n v="0"/>
    <n v="26.4"/>
    <n v="16.5"/>
    <n v="9.8999999999999986"/>
    <x v="0"/>
  </r>
  <r>
    <n v="86338"/>
    <x v="1"/>
    <n v="2020"/>
    <n v="3"/>
    <n v="30"/>
    <x v="89"/>
    <x v="2"/>
    <n v="5.2"/>
    <n v="21.7"/>
    <n v="15.9"/>
    <n v="5.7999999999999989"/>
    <x v="0"/>
  </r>
  <r>
    <n v="86338"/>
    <x v="1"/>
    <n v="2020"/>
    <n v="3"/>
    <n v="31"/>
    <x v="90"/>
    <x v="2"/>
    <n v="0"/>
    <n v="21.4"/>
    <n v="12.2"/>
    <n v="9.1999999999999993"/>
    <x v="0"/>
  </r>
  <r>
    <n v="86338"/>
    <x v="1"/>
    <n v="2020"/>
    <n v="4"/>
    <n v="1"/>
    <x v="91"/>
    <x v="3"/>
    <n v="0"/>
    <n v="23.1"/>
    <n v="11"/>
    <n v="12.100000000000001"/>
    <x v="0"/>
  </r>
  <r>
    <n v="86338"/>
    <x v="1"/>
    <n v="2020"/>
    <n v="4"/>
    <n v="2"/>
    <x v="92"/>
    <x v="3"/>
    <n v="23"/>
    <n v="20.7"/>
    <n v="12.4"/>
    <n v="8.2999999999999989"/>
    <x v="2"/>
  </r>
  <r>
    <n v="86338"/>
    <x v="1"/>
    <n v="2020"/>
    <n v="4"/>
    <n v="3"/>
    <x v="93"/>
    <x v="3"/>
    <n v="15.8"/>
    <n v="23.2"/>
    <n v="13.7"/>
    <n v="9.5"/>
    <x v="0"/>
  </r>
  <r>
    <n v="86338"/>
    <x v="1"/>
    <n v="2020"/>
    <n v="4"/>
    <n v="4"/>
    <x v="94"/>
    <x v="3"/>
    <n v="35.200000000000003"/>
    <n v="16.600000000000001"/>
    <n v="12.8"/>
    <n v="3.8000000000000007"/>
    <x v="2"/>
  </r>
  <r>
    <n v="86338"/>
    <x v="1"/>
    <n v="2020"/>
    <n v="4"/>
    <n v="5"/>
    <x v="95"/>
    <x v="3"/>
    <n v="4.4000000000000004"/>
    <n v="16.899999999999999"/>
    <n v="9.5"/>
    <n v="7.3999999999999986"/>
    <x v="0"/>
  </r>
  <r>
    <n v="86338"/>
    <x v="1"/>
    <n v="2020"/>
    <n v="4"/>
    <n v="6"/>
    <x v="96"/>
    <x v="3"/>
    <n v="6.2"/>
    <n v="16.5"/>
    <n v="10.7"/>
    <n v="5.8000000000000007"/>
    <x v="0"/>
  </r>
  <r>
    <n v="86338"/>
    <x v="1"/>
    <n v="2020"/>
    <n v="4"/>
    <n v="7"/>
    <x v="97"/>
    <x v="3"/>
    <n v="1.4"/>
    <n v="16.399999999999999"/>
    <n v="11.9"/>
    <n v="4.4999999999999982"/>
    <x v="0"/>
  </r>
  <r>
    <n v="86338"/>
    <x v="1"/>
    <n v="2020"/>
    <n v="4"/>
    <n v="8"/>
    <x v="98"/>
    <x v="3"/>
    <n v="1.2"/>
    <n v="18.600000000000001"/>
    <n v="11.7"/>
    <n v="6.9000000000000021"/>
    <x v="0"/>
  </r>
  <r>
    <n v="86338"/>
    <x v="1"/>
    <n v="2020"/>
    <n v="4"/>
    <n v="9"/>
    <x v="99"/>
    <x v="3"/>
    <n v="0"/>
    <n v="21.2"/>
    <n v="8.9"/>
    <n v="12.299999999999999"/>
    <x v="0"/>
  </r>
  <r>
    <n v="86338"/>
    <x v="1"/>
    <n v="2020"/>
    <n v="4"/>
    <n v="10"/>
    <x v="100"/>
    <x v="3"/>
    <n v="0.2"/>
    <n v="22"/>
    <n v="12.7"/>
    <n v="9.3000000000000007"/>
    <x v="0"/>
  </r>
  <r>
    <n v="86338"/>
    <x v="1"/>
    <n v="2020"/>
    <n v="4"/>
    <n v="11"/>
    <x v="101"/>
    <x v="3"/>
    <n v="2.4"/>
    <n v="15.7"/>
    <n v="13"/>
    <n v="2.6999999999999993"/>
    <x v="0"/>
  </r>
  <r>
    <n v="86338"/>
    <x v="1"/>
    <n v="2020"/>
    <n v="4"/>
    <n v="12"/>
    <x v="102"/>
    <x v="3"/>
    <n v="2.4"/>
    <n v="15.3"/>
    <n v="11"/>
    <n v="4.3000000000000007"/>
    <x v="0"/>
  </r>
  <r>
    <n v="86338"/>
    <x v="1"/>
    <n v="2020"/>
    <n v="4"/>
    <n v="13"/>
    <x v="103"/>
    <x v="3"/>
    <n v="0"/>
    <n v="18.3"/>
    <n v="12.2"/>
    <n v="6.1000000000000014"/>
    <x v="0"/>
  </r>
  <r>
    <n v="86338"/>
    <x v="1"/>
    <n v="2020"/>
    <n v="4"/>
    <n v="14"/>
    <x v="104"/>
    <x v="3"/>
    <n v="0.6"/>
    <n v="23.4"/>
    <n v="12.1"/>
    <n v="11.299999999999999"/>
    <x v="0"/>
  </r>
  <r>
    <n v="86338"/>
    <x v="1"/>
    <n v="2020"/>
    <n v="4"/>
    <n v="15"/>
    <x v="105"/>
    <x v="3"/>
    <n v="0"/>
    <n v="23.5"/>
    <n v="15.6"/>
    <n v="7.9"/>
    <x v="0"/>
  </r>
  <r>
    <n v="86338"/>
    <x v="1"/>
    <n v="2020"/>
    <n v="4"/>
    <n v="16"/>
    <x v="106"/>
    <x v="3"/>
    <n v="0.2"/>
    <n v="21.5"/>
    <n v="15.4"/>
    <n v="6.1"/>
    <x v="0"/>
  </r>
  <r>
    <n v="86338"/>
    <x v="1"/>
    <n v="2020"/>
    <n v="4"/>
    <n v="17"/>
    <x v="107"/>
    <x v="3"/>
    <n v="0"/>
    <n v="18.399999999999999"/>
    <n v="11.4"/>
    <n v="6.9999999999999982"/>
    <x v="0"/>
  </r>
  <r>
    <n v="86338"/>
    <x v="1"/>
    <n v="2020"/>
    <n v="4"/>
    <n v="18"/>
    <x v="108"/>
    <x v="3"/>
    <n v="0"/>
    <n v="16.399999999999999"/>
    <n v="12.9"/>
    <n v="3.4999999999999982"/>
    <x v="0"/>
  </r>
  <r>
    <n v="86338"/>
    <x v="1"/>
    <n v="2020"/>
    <n v="4"/>
    <n v="19"/>
    <x v="109"/>
    <x v="3"/>
    <n v="0"/>
    <n v="19.399999999999999"/>
    <n v="11.2"/>
    <n v="8.1999999999999993"/>
    <x v="0"/>
  </r>
  <r>
    <n v="86338"/>
    <x v="1"/>
    <n v="2020"/>
    <n v="4"/>
    <n v="20"/>
    <x v="110"/>
    <x v="3"/>
    <n v="3.4"/>
    <n v="20.8"/>
    <n v="12"/>
    <n v="8.8000000000000007"/>
    <x v="0"/>
  </r>
  <r>
    <n v="86338"/>
    <x v="1"/>
    <n v="2020"/>
    <n v="4"/>
    <n v="21"/>
    <x v="111"/>
    <x v="3"/>
    <n v="0"/>
    <n v="19.600000000000001"/>
    <n v="8.5"/>
    <n v="11.100000000000001"/>
    <x v="0"/>
  </r>
  <r>
    <n v="86338"/>
    <x v="1"/>
    <n v="2020"/>
    <n v="4"/>
    <n v="22"/>
    <x v="112"/>
    <x v="3"/>
    <n v="0"/>
    <n v="18.2"/>
    <n v="12.8"/>
    <n v="5.3999999999999986"/>
    <x v="0"/>
  </r>
  <r>
    <n v="86338"/>
    <x v="1"/>
    <n v="2020"/>
    <n v="4"/>
    <n v="23"/>
    <x v="113"/>
    <x v="3"/>
    <n v="0"/>
    <n v="19.7"/>
    <n v="9.6"/>
    <n v="10.1"/>
    <x v="0"/>
  </r>
  <r>
    <n v="86338"/>
    <x v="1"/>
    <n v="2020"/>
    <n v="4"/>
    <n v="24"/>
    <x v="114"/>
    <x v="3"/>
    <n v="0.4"/>
    <n v="22.3"/>
    <n v="15.1"/>
    <n v="7.2000000000000011"/>
    <x v="0"/>
  </r>
  <r>
    <n v="86338"/>
    <x v="1"/>
    <n v="2020"/>
    <n v="4"/>
    <n v="25"/>
    <x v="115"/>
    <x v="3"/>
    <n v="0"/>
    <n v="21.7"/>
    <n v="10.5"/>
    <n v="11.2"/>
    <x v="0"/>
  </r>
  <r>
    <n v="86338"/>
    <x v="1"/>
    <n v="2020"/>
    <n v="4"/>
    <n v="26"/>
    <x v="116"/>
    <x v="3"/>
    <n v="14"/>
    <n v="17.7"/>
    <n v="15.4"/>
    <n v="2.2999999999999989"/>
    <x v="0"/>
  </r>
  <r>
    <n v="86338"/>
    <x v="1"/>
    <n v="2020"/>
    <n v="4"/>
    <n v="27"/>
    <x v="117"/>
    <x v="3"/>
    <n v="0.6"/>
    <n v="18.100000000000001"/>
    <n v="8.1"/>
    <n v="10.000000000000002"/>
    <x v="0"/>
  </r>
  <r>
    <n v="86338"/>
    <x v="1"/>
    <n v="2020"/>
    <n v="4"/>
    <n v="28"/>
    <x v="118"/>
    <x v="3"/>
    <n v="0"/>
    <n v="18.899999999999999"/>
    <n v="7.1"/>
    <n v="11.799999999999999"/>
    <x v="0"/>
  </r>
  <r>
    <n v="86338"/>
    <x v="1"/>
    <n v="2020"/>
    <n v="4"/>
    <n v="29"/>
    <x v="119"/>
    <x v="3"/>
    <n v="3.4"/>
    <n v="19.8"/>
    <n v="11.2"/>
    <n v="8.6000000000000014"/>
    <x v="0"/>
  </r>
  <r>
    <n v="86338"/>
    <x v="1"/>
    <n v="2020"/>
    <n v="4"/>
    <n v="30"/>
    <x v="120"/>
    <x v="3"/>
    <n v="23.6"/>
    <n v="15.5"/>
    <n v="8.9"/>
    <n v="6.6"/>
    <x v="2"/>
  </r>
  <r>
    <n v="86338"/>
    <x v="1"/>
    <n v="2020"/>
    <n v="5"/>
    <n v="1"/>
    <x v="121"/>
    <x v="4"/>
    <n v="8"/>
    <n v="13"/>
    <n v="7.6"/>
    <n v="5.4"/>
    <x v="0"/>
  </r>
  <r>
    <n v="86338"/>
    <x v="1"/>
    <n v="2020"/>
    <n v="5"/>
    <n v="2"/>
    <x v="122"/>
    <x v="4"/>
    <n v="1.4"/>
    <n v="14.2"/>
    <n v="8.3000000000000007"/>
    <n v="5.8999999999999986"/>
    <x v="0"/>
  </r>
  <r>
    <n v="86338"/>
    <x v="1"/>
    <n v="2020"/>
    <n v="5"/>
    <n v="3"/>
    <x v="123"/>
    <x v="4"/>
    <n v="1.8"/>
    <n v="15"/>
    <n v="9.8000000000000007"/>
    <n v="5.1999999999999993"/>
    <x v="0"/>
  </r>
  <r>
    <n v="86338"/>
    <x v="1"/>
    <n v="2020"/>
    <n v="5"/>
    <n v="4"/>
    <x v="124"/>
    <x v="4"/>
    <n v="0.2"/>
    <n v="14.8"/>
    <n v="9.4"/>
    <n v="5.4"/>
    <x v="0"/>
  </r>
  <r>
    <n v="86338"/>
    <x v="1"/>
    <n v="2020"/>
    <n v="5"/>
    <n v="5"/>
    <x v="125"/>
    <x v="4"/>
    <n v="0.4"/>
    <n v="19.5"/>
    <n v="8"/>
    <n v="11.5"/>
    <x v="0"/>
  </r>
  <r>
    <n v="86338"/>
    <x v="1"/>
    <n v="2020"/>
    <n v="5"/>
    <n v="6"/>
    <x v="126"/>
    <x v="4"/>
    <n v="0"/>
    <n v="20.100000000000001"/>
    <n v="10.199999999999999"/>
    <n v="9.9000000000000021"/>
    <x v="0"/>
  </r>
  <r>
    <n v="86338"/>
    <x v="1"/>
    <n v="2020"/>
    <n v="5"/>
    <n v="7"/>
    <x v="127"/>
    <x v="4"/>
    <n v="0"/>
    <n v="21.1"/>
    <n v="15.1"/>
    <n v="6.0000000000000018"/>
    <x v="0"/>
  </r>
  <r>
    <n v="86338"/>
    <x v="1"/>
    <n v="2020"/>
    <n v="5"/>
    <n v="8"/>
    <x v="128"/>
    <x v="4"/>
    <n v="0"/>
    <n v="19.600000000000001"/>
    <n v="12.6"/>
    <n v="7.0000000000000018"/>
    <x v="0"/>
  </r>
  <r>
    <n v="86338"/>
    <x v="1"/>
    <n v="2020"/>
    <n v="5"/>
    <n v="9"/>
    <x v="129"/>
    <x v="4"/>
    <n v="0.6"/>
    <n v="14"/>
    <n v="12.6"/>
    <n v="1.4000000000000004"/>
    <x v="0"/>
  </r>
  <r>
    <n v="86338"/>
    <x v="1"/>
    <n v="2020"/>
    <n v="5"/>
    <n v="10"/>
    <x v="130"/>
    <x v="4"/>
    <n v="7"/>
    <n v="14.5"/>
    <n v="7.2"/>
    <n v="7.3"/>
    <x v="0"/>
  </r>
  <r>
    <n v="86338"/>
    <x v="1"/>
    <n v="2020"/>
    <n v="5"/>
    <n v="11"/>
    <x v="131"/>
    <x v="4"/>
    <n v="0.6"/>
    <n v="17.100000000000001"/>
    <n v="7.8"/>
    <n v="9.3000000000000007"/>
    <x v="0"/>
  </r>
  <r>
    <n v="86338"/>
    <x v="1"/>
    <n v="2020"/>
    <n v="5"/>
    <n v="12"/>
    <x v="132"/>
    <x v="4"/>
    <n v="0.2"/>
    <n v="14.8"/>
    <n v="10.3"/>
    <n v="4.5"/>
    <x v="0"/>
  </r>
  <r>
    <n v="86338"/>
    <x v="1"/>
    <n v="2020"/>
    <n v="5"/>
    <n v="13"/>
    <x v="133"/>
    <x v="4"/>
    <n v="1.4"/>
    <n v="14.5"/>
    <n v="10.4"/>
    <n v="4.0999999999999996"/>
    <x v="0"/>
  </r>
  <r>
    <n v="86338"/>
    <x v="1"/>
    <n v="2020"/>
    <n v="5"/>
    <n v="14"/>
    <x v="134"/>
    <x v="4"/>
    <n v="2.8"/>
    <n v="14.7"/>
    <n v="6.6"/>
    <n v="8.1"/>
    <x v="0"/>
  </r>
  <r>
    <n v="86338"/>
    <x v="1"/>
    <n v="2020"/>
    <n v="5"/>
    <n v="15"/>
    <x v="135"/>
    <x v="4"/>
    <n v="0"/>
    <n v="15.3"/>
    <n v="4.5"/>
    <n v="10.8"/>
    <x v="0"/>
  </r>
  <r>
    <n v="86338"/>
    <x v="1"/>
    <n v="2020"/>
    <n v="5"/>
    <n v="16"/>
    <x v="136"/>
    <x v="4"/>
    <n v="0"/>
    <n v="18"/>
    <n v="4.5"/>
    <n v="13.5"/>
    <x v="0"/>
  </r>
  <r>
    <n v="86338"/>
    <x v="1"/>
    <n v="2020"/>
    <n v="5"/>
    <n v="17"/>
    <x v="137"/>
    <x v="4"/>
    <n v="0"/>
    <n v="18.5"/>
    <n v="5.0999999999999996"/>
    <n v="13.4"/>
    <x v="0"/>
  </r>
  <r>
    <n v="86338"/>
    <x v="1"/>
    <n v="2020"/>
    <n v="5"/>
    <n v="18"/>
    <x v="138"/>
    <x v="4"/>
    <n v="0"/>
    <n v="19.399999999999999"/>
    <n v="5.5"/>
    <n v="13.899999999999999"/>
    <x v="0"/>
  </r>
  <r>
    <n v="86338"/>
    <x v="1"/>
    <n v="2020"/>
    <n v="5"/>
    <n v="19"/>
    <x v="139"/>
    <x v="4"/>
    <n v="0"/>
    <n v="17.7"/>
    <n v="8.1"/>
    <n v="9.6"/>
    <x v="0"/>
  </r>
  <r>
    <n v="86338"/>
    <x v="1"/>
    <n v="2020"/>
    <n v="5"/>
    <n v="20"/>
    <x v="140"/>
    <x v="4"/>
    <n v="15.6"/>
    <n v="15.8"/>
    <n v="10.3"/>
    <n v="5.5"/>
    <x v="0"/>
  </r>
  <r>
    <n v="86338"/>
    <x v="1"/>
    <n v="2020"/>
    <n v="5"/>
    <n v="21"/>
    <x v="141"/>
    <x v="4"/>
    <n v="12.4"/>
    <n v="13.7"/>
    <n v="9.4"/>
    <n v="4.2999999999999989"/>
    <x v="0"/>
  </r>
  <r>
    <n v="86338"/>
    <x v="1"/>
    <n v="2020"/>
    <n v="5"/>
    <n v="22"/>
    <x v="142"/>
    <x v="4"/>
    <n v="11.4"/>
    <n v="13.6"/>
    <n v="9.1"/>
    <n v="4.5"/>
    <x v="0"/>
  </r>
  <r>
    <n v="86338"/>
    <x v="1"/>
    <n v="2020"/>
    <n v="5"/>
    <n v="23"/>
    <x v="143"/>
    <x v="4"/>
    <n v="0"/>
    <n v="13.5"/>
    <n v="9.4"/>
    <n v="4.0999999999999996"/>
    <x v="0"/>
  </r>
  <r>
    <n v="86338"/>
    <x v="1"/>
    <n v="2020"/>
    <n v="5"/>
    <n v="24"/>
    <x v="144"/>
    <x v="4"/>
    <n v="3"/>
    <n v="13.8"/>
    <n v="10.9"/>
    <n v="2.9000000000000004"/>
    <x v="0"/>
  </r>
  <r>
    <n v="86338"/>
    <x v="1"/>
    <n v="2020"/>
    <n v="5"/>
    <n v="25"/>
    <x v="145"/>
    <x v="4"/>
    <n v="0"/>
    <n v="16"/>
    <n v="5.5"/>
    <n v="10.5"/>
    <x v="0"/>
  </r>
  <r>
    <n v="86338"/>
    <x v="1"/>
    <n v="2020"/>
    <n v="5"/>
    <n v="26"/>
    <x v="146"/>
    <x v="4"/>
    <n v="0"/>
    <n v="18.5"/>
    <n v="5.4"/>
    <n v="13.1"/>
    <x v="0"/>
  </r>
  <r>
    <n v="86338"/>
    <x v="1"/>
    <n v="2020"/>
    <n v="5"/>
    <n v="27"/>
    <x v="147"/>
    <x v="4"/>
    <n v="0"/>
    <n v="17.100000000000001"/>
    <n v="5.9"/>
    <n v="11.200000000000001"/>
    <x v="0"/>
  </r>
  <r>
    <n v="86338"/>
    <x v="1"/>
    <n v="2020"/>
    <n v="5"/>
    <n v="28"/>
    <x v="148"/>
    <x v="4"/>
    <n v="0"/>
    <n v="17.600000000000001"/>
    <n v="12.1"/>
    <n v="5.5000000000000018"/>
    <x v="0"/>
  </r>
  <r>
    <n v="86338"/>
    <x v="1"/>
    <n v="2020"/>
    <n v="5"/>
    <n v="29"/>
    <x v="149"/>
    <x v="4"/>
    <n v="0"/>
    <n v="17.100000000000001"/>
    <n v="7.2"/>
    <n v="9.9000000000000021"/>
    <x v="0"/>
  </r>
  <r>
    <n v="86338"/>
    <x v="1"/>
    <n v="2020"/>
    <n v="5"/>
    <n v="30"/>
    <x v="150"/>
    <x v="4"/>
    <n v="0"/>
    <n v="17.100000000000001"/>
    <n v="8.1"/>
    <n v="9.0000000000000018"/>
    <x v="0"/>
  </r>
  <r>
    <n v="86338"/>
    <x v="1"/>
    <n v="2020"/>
    <n v="5"/>
    <n v="31"/>
    <x v="151"/>
    <x v="4"/>
    <n v="0"/>
    <n v="17.8"/>
    <n v="12.4"/>
    <n v="5.4"/>
    <x v="0"/>
  </r>
  <r>
    <n v="86338"/>
    <x v="1"/>
    <n v="2020"/>
    <n v="6"/>
    <n v="1"/>
    <x v="152"/>
    <x v="5"/>
    <n v="5"/>
    <n v="11.2"/>
    <n v="9.3000000000000007"/>
    <n v="1.8999999999999986"/>
    <x v="0"/>
  </r>
  <r>
    <n v="86338"/>
    <x v="1"/>
    <n v="2020"/>
    <n v="6"/>
    <n v="2"/>
    <x v="153"/>
    <x v="5"/>
    <n v="11.6"/>
    <n v="15.6"/>
    <n v="8.4"/>
    <n v="7.1999999999999993"/>
    <x v="0"/>
  </r>
  <r>
    <n v="86338"/>
    <x v="1"/>
    <n v="2020"/>
    <n v="6"/>
    <n v="3"/>
    <x v="154"/>
    <x v="5"/>
    <n v="0.6"/>
    <n v="14.1"/>
    <n v="10.5"/>
    <n v="3.5999999999999996"/>
    <x v="0"/>
  </r>
  <r>
    <n v="86338"/>
    <x v="1"/>
    <n v="2020"/>
    <n v="6"/>
    <n v="4"/>
    <x v="155"/>
    <x v="5"/>
    <n v="0"/>
    <n v="13.8"/>
    <n v="9.3000000000000007"/>
    <n v="4.5"/>
    <x v="0"/>
  </r>
  <r>
    <n v="86338"/>
    <x v="1"/>
    <n v="2020"/>
    <n v="6"/>
    <n v="5"/>
    <x v="156"/>
    <x v="5"/>
    <n v="0"/>
    <n v="14.6"/>
    <n v="4.0999999999999996"/>
    <n v="10.5"/>
    <x v="0"/>
  </r>
  <r>
    <n v="86338"/>
    <x v="1"/>
    <n v="2020"/>
    <n v="6"/>
    <n v="6"/>
    <x v="157"/>
    <x v="5"/>
    <n v="0"/>
    <n v="13.3"/>
    <n v="6"/>
    <n v="7.3000000000000007"/>
    <x v="0"/>
  </r>
  <r>
    <n v="86338"/>
    <x v="1"/>
    <n v="2020"/>
    <n v="6"/>
    <n v="7"/>
    <x v="158"/>
    <x v="5"/>
    <n v="0"/>
    <n v="11.8"/>
    <n v="7.9"/>
    <n v="3.9000000000000004"/>
    <x v="0"/>
  </r>
  <r>
    <n v="86338"/>
    <x v="1"/>
    <n v="2020"/>
    <n v="6"/>
    <n v="8"/>
    <x v="159"/>
    <x v="5"/>
    <n v="0"/>
    <n v="12.6"/>
    <n v="4.5"/>
    <n v="8.1"/>
    <x v="0"/>
  </r>
  <r>
    <n v="86338"/>
    <x v="1"/>
    <n v="2020"/>
    <n v="6"/>
    <n v="9"/>
    <x v="160"/>
    <x v="5"/>
    <n v="0.2"/>
    <n v="15.3"/>
    <n v="2"/>
    <n v="13.3"/>
    <x v="0"/>
  </r>
  <r>
    <n v="86338"/>
    <x v="1"/>
    <n v="2020"/>
    <n v="6"/>
    <n v="10"/>
    <x v="161"/>
    <x v="5"/>
    <n v="0"/>
    <n v="16.7"/>
    <n v="3.9"/>
    <n v="12.799999999999999"/>
    <x v="0"/>
  </r>
  <r>
    <n v="86338"/>
    <x v="1"/>
    <n v="2020"/>
    <n v="6"/>
    <n v="11"/>
    <x v="162"/>
    <x v="5"/>
    <n v="0"/>
    <n v="16.899999999999999"/>
    <n v="4.5"/>
    <n v="12.399999999999999"/>
    <x v="0"/>
  </r>
  <r>
    <n v="86338"/>
    <x v="1"/>
    <n v="2020"/>
    <n v="6"/>
    <n v="12"/>
    <x v="163"/>
    <x v="5"/>
    <n v="0"/>
    <n v="15.3"/>
    <n v="4.2"/>
    <n v="11.100000000000001"/>
    <x v="0"/>
  </r>
  <r>
    <n v="86338"/>
    <x v="1"/>
    <n v="2020"/>
    <n v="6"/>
    <n v="13"/>
    <x v="164"/>
    <x v="5"/>
    <n v="0"/>
    <n v="16.399999999999999"/>
    <n v="5.7"/>
    <n v="10.7"/>
    <x v="0"/>
  </r>
  <r>
    <n v="86338"/>
    <x v="1"/>
    <n v="2020"/>
    <n v="6"/>
    <n v="14"/>
    <x v="165"/>
    <x v="5"/>
    <n v="5.8"/>
    <n v="15.2"/>
    <n v="10.4"/>
    <n v="4.7999999999999989"/>
    <x v="0"/>
  </r>
  <r>
    <n v="86338"/>
    <x v="1"/>
    <n v="2020"/>
    <n v="6"/>
    <n v="15"/>
    <x v="166"/>
    <x v="5"/>
    <n v="0"/>
    <n v="18.399999999999999"/>
    <n v="11.6"/>
    <n v="6.7999999999999989"/>
    <x v="0"/>
  </r>
  <r>
    <n v="86338"/>
    <x v="1"/>
    <n v="2020"/>
    <n v="6"/>
    <n v="16"/>
    <x v="167"/>
    <x v="5"/>
    <n v="0"/>
    <n v="17.899999999999999"/>
    <n v="13"/>
    <n v="4.8999999999999986"/>
    <x v="0"/>
  </r>
  <r>
    <n v="86338"/>
    <x v="1"/>
    <n v="2020"/>
    <n v="6"/>
    <n v="17"/>
    <x v="168"/>
    <x v="5"/>
    <n v="0.4"/>
    <n v="14.6"/>
    <n v="10.199999999999999"/>
    <n v="4.4000000000000004"/>
    <x v="0"/>
  </r>
  <r>
    <n v="86338"/>
    <x v="1"/>
    <n v="2020"/>
    <n v="6"/>
    <n v="18"/>
    <x v="169"/>
    <x v="5"/>
    <n v="0"/>
    <n v="16.899999999999999"/>
    <n v="4.5999999999999996"/>
    <n v="12.299999999999999"/>
    <x v="0"/>
  </r>
  <r>
    <n v="86338"/>
    <x v="1"/>
    <n v="2020"/>
    <n v="6"/>
    <n v="19"/>
    <x v="170"/>
    <x v="5"/>
    <n v="0"/>
    <n v="17.8"/>
    <n v="6.4"/>
    <n v="11.4"/>
    <x v="0"/>
  </r>
  <r>
    <n v="86338"/>
    <x v="1"/>
    <n v="2020"/>
    <n v="6"/>
    <n v="20"/>
    <x v="171"/>
    <x v="5"/>
    <n v="1.4"/>
    <n v="16.899999999999999"/>
    <n v="12.8"/>
    <n v="4.0999999999999979"/>
    <x v="0"/>
  </r>
  <r>
    <n v="86338"/>
    <x v="1"/>
    <n v="2020"/>
    <n v="6"/>
    <n v="21"/>
    <x v="172"/>
    <x v="5"/>
    <n v="0"/>
    <n v="12"/>
    <n v="6.9"/>
    <n v="5.0999999999999996"/>
    <x v="0"/>
  </r>
  <r>
    <n v="86338"/>
    <x v="1"/>
    <n v="2020"/>
    <n v="6"/>
    <n v="22"/>
    <x v="173"/>
    <x v="5"/>
    <n v="0"/>
    <n v="13"/>
    <n v="8.1"/>
    <n v="4.9000000000000004"/>
    <x v="0"/>
  </r>
  <r>
    <n v="86338"/>
    <x v="1"/>
    <n v="2020"/>
    <n v="6"/>
    <n v="23"/>
    <x v="174"/>
    <x v="5"/>
    <n v="2.2000000000000002"/>
    <n v="14.4"/>
    <n v="9"/>
    <n v="5.4"/>
    <x v="0"/>
  </r>
  <r>
    <n v="86338"/>
    <x v="1"/>
    <n v="2020"/>
    <n v="6"/>
    <n v="24"/>
    <x v="175"/>
    <x v="5"/>
    <n v="0.4"/>
    <n v="14.9"/>
    <n v="10.1"/>
    <n v="4.8000000000000007"/>
    <x v="0"/>
  </r>
  <r>
    <n v="86338"/>
    <x v="1"/>
    <n v="2020"/>
    <n v="6"/>
    <n v="25"/>
    <x v="176"/>
    <x v="5"/>
    <n v="0"/>
    <n v="15.9"/>
    <n v="10.199999999999999"/>
    <n v="5.7000000000000011"/>
    <x v="0"/>
  </r>
  <r>
    <n v="86338"/>
    <x v="1"/>
    <n v="2020"/>
    <n v="6"/>
    <n v="26"/>
    <x v="177"/>
    <x v="5"/>
    <n v="1.2"/>
    <n v="13.8"/>
    <n v="7.9"/>
    <n v="5.9"/>
    <x v="0"/>
  </r>
  <r>
    <n v="86338"/>
    <x v="1"/>
    <n v="2020"/>
    <n v="6"/>
    <n v="27"/>
    <x v="178"/>
    <x v="5"/>
    <n v="0"/>
    <n v="13.1"/>
    <n v="6.2"/>
    <n v="6.8999999999999995"/>
    <x v="0"/>
  </r>
  <r>
    <n v="86338"/>
    <x v="1"/>
    <n v="2020"/>
    <n v="6"/>
    <n v="28"/>
    <x v="179"/>
    <x v="5"/>
    <n v="0.2"/>
    <n v="12.5"/>
    <n v="1.7"/>
    <n v="10.8"/>
    <x v="0"/>
  </r>
  <r>
    <n v="86338"/>
    <x v="1"/>
    <n v="2020"/>
    <n v="6"/>
    <n v="29"/>
    <x v="180"/>
    <x v="5"/>
    <n v="0"/>
    <n v="15.4"/>
    <n v="2.2000000000000002"/>
    <n v="13.2"/>
    <x v="0"/>
  </r>
  <r>
    <n v="86338"/>
    <x v="1"/>
    <n v="2020"/>
    <n v="6"/>
    <n v="30"/>
    <x v="181"/>
    <x v="5"/>
    <n v="0"/>
    <n v="15.2"/>
    <n v="3"/>
    <n v="12.2"/>
    <x v="0"/>
  </r>
  <r>
    <n v="86338"/>
    <x v="1"/>
    <n v="2020"/>
    <n v="7"/>
    <n v="1"/>
    <x v="182"/>
    <x v="6"/>
    <n v="0"/>
    <n v="17.399999999999999"/>
    <n v="9.8000000000000007"/>
    <n v="7.5999999999999979"/>
    <x v="0"/>
  </r>
  <r>
    <n v="86338"/>
    <x v="1"/>
    <n v="2020"/>
    <n v="7"/>
    <n v="2"/>
    <x v="183"/>
    <x v="6"/>
    <n v="1.2"/>
    <n v="15.1"/>
    <n v="10.199999999999999"/>
    <n v="4.9000000000000004"/>
    <x v="0"/>
  </r>
  <r>
    <n v="86338"/>
    <x v="1"/>
    <n v="2020"/>
    <n v="7"/>
    <n v="3"/>
    <x v="184"/>
    <x v="6"/>
    <n v="0"/>
    <n v="10.3"/>
    <n v="7.7"/>
    <n v="2.6000000000000005"/>
    <x v="0"/>
  </r>
  <r>
    <n v="86338"/>
    <x v="1"/>
    <n v="2020"/>
    <n v="7"/>
    <n v="4"/>
    <x v="185"/>
    <x v="6"/>
    <n v="7.8"/>
    <n v="14.5"/>
    <n v="6.5"/>
    <n v="8"/>
    <x v="0"/>
  </r>
  <r>
    <n v="86338"/>
    <x v="1"/>
    <n v="2020"/>
    <n v="7"/>
    <n v="5"/>
    <x v="186"/>
    <x v="6"/>
    <n v="4.5999999999999996"/>
    <n v="12.5"/>
    <n v="8.9"/>
    <n v="3.5999999999999996"/>
    <x v="0"/>
  </r>
  <r>
    <n v="86338"/>
    <x v="1"/>
    <n v="2020"/>
    <n v="7"/>
    <n v="6"/>
    <x v="187"/>
    <x v="6"/>
    <n v="1"/>
    <n v="13.1"/>
    <n v="8.1"/>
    <n v="5"/>
    <x v="0"/>
  </r>
  <r>
    <n v="86338"/>
    <x v="1"/>
    <n v="2020"/>
    <n v="7"/>
    <n v="7"/>
    <x v="188"/>
    <x v="6"/>
    <n v="1.4"/>
    <n v="11.8"/>
    <n v="8.9"/>
    <n v="2.9000000000000004"/>
    <x v="0"/>
  </r>
  <r>
    <n v="86338"/>
    <x v="1"/>
    <n v="2020"/>
    <n v="7"/>
    <n v="8"/>
    <x v="189"/>
    <x v="6"/>
    <n v="0"/>
    <n v="15.7"/>
    <n v="4.9000000000000004"/>
    <n v="10.799999999999999"/>
    <x v="0"/>
  </r>
  <r>
    <n v="86338"/>
    <x v="1"/>
    <n v="2020"/>
    <n v="7"/>
    <n v="9"/>
    <x v="190"/>
    <x v="6"/>
    <n v="0"/>
    <n v="17.2"/>
    <n v="5.7"/>
    <n v="11.5"/>
    <x v="0"/>
  </r>
  <r>
    <n v="86338"/>
    <x v="1"/>
    <n v="2020"/>
    <n v="7"/>
    <n v="10"/>
    <x v="191"/>
    <x v="6"/>
    <n v="0"/>
    <n v="16.899999999999999"/>
    <n v="6.4"/>
    <n v="10.499999999999998"/>
    <x v="0"/>
  </r>
  <r>
    <n v="86338"/>
    <x v="1"/>
    <n v="2020"/>
    <n v="7"/>
    <n v="11"/>
    <x v="192"/>
    <x v="6"/>
    <n v="0"/>
    <n v="11.4"/>
    <n v="7.3"/>
    <n v="4.1000000000000005"/>
    <x v="0"/>
  </r>
  <r>
    <n v="86338"/>
    <x v="1"/>
    <n v="2020"/>
    <n v="7"/>
    <n v="12"/>
    <x v="193"/>
    <x v="6"/>
    <n v="6.8"/>
    <n v="14.2"/>
    <n v="9"/>
    <n v="5.1999999999999993"/>
    <x v="0"/>
  </r>
  <r>
    <n v="86338"/>
    <x v="1"/>
    <n v="2020"/>
    <n v="7"/>
    <n v="13"/>
    <x v="194"/>
    <x v="6"/>
    <n v="3.4"/>
    <n v="15.1"/>
    <n v="8.6999999999999993"/>
    <n v="6.4"/>
    <x v="0"/>
  </r>
  <r>
    <n v="86338"/>
    <x v="1"/>
    <n v="2020"/>
    <n v="7"/>
    <n v="14"/>
    <x v="195"/>
    <x v="6"/>
    <n v="0"/>
    <n v="14.2"/>
    <n v="7.7"/>
    <n v="6.4999999999999991"/>
    <x v="0"/>
  </r>
  <r>
    <n v="86338"/>
    <x v="1"/>
    <n v="2020"/>
    <n v="7"/>
    <n v="15"/>
    <x v="196"/>
    <x v="6"/>
    <n v="0.2"/>
    <n v="14.7"/>
    <n v="6.2"/>
    <n v="8.5"/>
    <x v="0"/>
  </r>
  <r>
    <n v="86338"/>
    <x v="1"/>
    <n v="2020"/>
    <n v="7"/>
    <n v="16"/>
    <x v="197"/>
    <x v="6"/>
    <n v="0"/>
    <n v="11.5"/>
    <n v="4.2"/>
    <n v="7.3"/>
    <x v="0"/>
  </r>
  <r>
    <n v="86338"/>
    <x v="1"/>
    <n v="2020"/>
    <n v="7"/>
    <n v="17"/>
    <x v="198"/>
    <x v="6"/>
    <n v="0"/>
    <n v="12.8"/>
    <n v="3.1"/>
    <n v="9.7000000000000011"/>
    <x v="0"/>
  </r>
  <r>
    <n v="86338"/>
    <x v="1"/>
    <n v="2020"/>
    <n v="7"/>
    <n v="18"/>
    <x v="199"/>
    <x v="6"/>
    <n v="0"/>
    <n v="12.5"/>
    <n v="4"/>
    <n v="8.5"/>
    <x v="0"/>
  </r>
  <r>
    <n v="86338"/>
    <x v="1"/>
    <n v="2020"/>
    <n v="7"/>
    <n v="19"/>
    <x v="200"/>
    <x v="6"/>
    <n v="0"/>
    <n v="15.3"/>
    <n v="8.1999999999999993"/>
    <n v="7.1000000000000014"/>
    <x v="0"/>
  </r>
  <r>
    <n v="86338"/>
    <x v="1"/>
    <n v="2020"/>
    <n v="7"/>
    <n v="20"/>
    <x v="201"/>
    <x v="6"/>
    <n v="0.6"/>
    <n v="13.8"/>
    <n v="7.6"/>
    <n v="6.2000000000000011"/>
    <x v="0"/>
  </r>
  <r>
    <n v="86338"/>
    <x v="1"/>
    <n v="2020"/>
    <n v="7"/>
    <n v="21"/>
    <x v="202"/>
    <x v="6"/>
    <n v="0.4"/>
    <n v="12.9"/>
    <n v="7.2"/>
    <n v="5.7"/>
    <x v="0"/>
  </r>
  <r>
    <n v="86338"/>
    <x v="1"/>
    <n v="2020"/>
    <n v="7"/>
    <n v="22"/>
    <x v="203"/>
    <x v="6"/>
    <n v="0"/>
    <n v="13.3"/>
    <n v="8.1"/>
    <n v="5.2000000000000011"/>
    <x v="0"/>
  </r>
  <r>
    <n v="86338"/>
    <x v="1"/>
    <n v="2020"/>
    <n v="7"/>
    <n v="23"/>
    <x v="204"/>
    <x v="6"/>
    <n v="2.2000000000000002"/>
    <n v="12"/>
    <n v="8.1"/>
    <n v="3.9000000000000004"/>
    <x v="0"/>
  </r>
  <r>
    <n v="86338"/>
    <x v="1"/>
    <n v="2020"/>
    <n v="7"/>
    <n v="24"/>
    <x v="205"/>
    <x v="6"/>
    <n v="0"/>
    <n v="13.5"/>
    <n v="6.1"/>
    <n v="7.4"/>
    <x v="0"/>
  </r>
  <r>
    <n v="86338"/>
    <x v="1"/>
    <n v="2020"/>
    <n v="7"/>
    <n v="25"/>
    <x v="206"/>
    <x v="6"/>
    <n v="0"/>
    <n v="12.2"/>
    <n v="4.3"/>
    <n v="7.8999999999999995"/>
    <x v="0"/>
  </r>
  <r>
    <n v="86338"/>
    <x v="1"/>
    <n v="2020"/>
    <n v="7"/>
    <n v="26"/>
    <x v="207"/>
    <x v="6"/>
    <n v="0"/>
    <n v="12.8"/>
    <n v="5"/>
    <n v="7.8000000000000007"/>
    <x v="0"/>
  </r>
  <r>
    <n v="86338"/>
    <x v="1"/>
    <n v="2020"/>
    <n v="7"/>
    <n v="27"/>
    <x v="208"/>
    <x v="6"/>
    <n v="0"/>
    <n v="13.5"/>
    <n v="7.4"/>
    <n v="6.1"/>
    <x v="0"/>
  </r>
  <r>
    <n v="86338"/>
    <x v="1"/>
    <n v="2020"/>
    <n v="7"/>
    <n v="28"/>
    <x v="209"/>
    <x v="6"/>
    <n v="0.4"/>
    <n v="15.6"/>
    <n v="9.6"/>
    <n v="6"/>
    <x v="0"/>
  </r>
  <r>
    <n v="86338"/>
    <x v="1"/>
    <n v="2020"/>
    <n v="7"/>
    <n v="29"/>
    <x v="210"/>
    <x v="6"/>
    <n v="0"/>
    <n v="16.3"/>
    <n v="8.6"/>
    <n v="7.7000000000000011"/>
    <x v="0"/>
  </r>
  <r>
    <n v="86338"/>
    <x v="1"/>
    <n v="2020"/>
    <n v="7"/>
    <n v="30"/>
    <x v="211"/>
    <x v="6"/>
    <n v="0"/>
    <n v="14.2"/>
    <n v="8"/>
    <n v="6.1999999999999993"/>
    <x v="0"/>
  </r>
  <r>
    <n v="86338"/>
    <x v="1"/>
    <n v="2020"/>
    <n v="7"/>
    <n v="31"/>
    <x v="212"/>
    <x v="6"/>
    <n v="0"/>
    <n v="17.100000000000001"/>
    <n v="3.4"/>
    <n v="13.700000000000001"/>
    <x v="0"/>
  </r>
  <r>
    <n v="86338"/>
    <x v="1"/>
    <n v="2020"/>
    <n v="8"/>
    <n v="1"/>
    <x v="213"/>
    <x v="7"/>
    <n v="0"/>
    <n v="16.399999999999999"/>
    <n v="5.7"/>
    <n v="10.7"/>
    <x v="0"/>
  </r>
  <r>
    <n v="86338"/>
    <x v="1"/>
    <n v="2020"/>
    <n v="8"/>
    <n v="2"/>
    <x v="214"/>
    <x v="7"/>
    <n v="0"/>
    <n v="18.2"/>
    <n v="9"/>
    <n v="9.1999999999999993"/>
    <x v="0"/>
  </r>
  <r>
    <n v="86338"/>
    <x v="1"/>
    <n v="2020"/>
    <n v="8"/>
    <n v="3"/>
    <x v="215"/>
    <x v="7"/>
    <n v="0"/>
    <n v="16"/>
    <n v="7.5"/>
    <n v="8.5"/>
    <x v="0"/>
  </r>
  <r>
    <n v="86338"/>
    <x v="1"/>
    <n v="2020"/>
    <n v="8"/>
    <n v="4"/>
    <x v="216"/>
    <x v="7"/>
    <n v="1.2"/>
    <n v="10.5"/>
    <n v="5.0999999999999996"/>
    <n v="5.4"/>
    <x v="0"/>
  </r>
  <r>
    <n v="86338"/>
    <x v="1"/>
    <n v="2020"/>
    <n v="8"/>
    <n v="5"/>
    <x v="217"/>
    <x v="7"/>
    <n v="5.8"/>
    <n v="11.3"/>
    <n v="4.7"/>
    <n v="6.6000000000000005"/>
    <x v="0"/>
  </r>
  <r>
    <n v="86338"/>
    <x v="1"/>
    <n v="2020"/>
    <n v="8"/>
    <n v="6"/>
    <x v="218"/>
    <x v="7"/>
    <n v="0.8"/>
    <n v="12.8"/>
    <n v="5.5"/>
    <n v="7.3000000000000007"/>
    <x v="0"/>
  </r>
  <r>
    <n v="86338"/>
    <x v="1"/>
    <n v="2020"/>
    <n v="8"/>
    <n v="7"/>
    <x v="219"/>
    <x v="7"/>
    <n v="0"/>
    <n v="12.7"/>
    <n v="3.3"/>
    <n v="9.3999999999999986"/>
    <x v="0"/>
  </r>
  <r>
    <n v="86338"/>
    <x v="1"/>
    <n v="2020"/>
    <n v="8"/>
    <n v="8"/>
    <x v="220"/>
    <x v="7"/>
    <n v="6.8"/>
    <n v="14.9"/>
    <n v="4.7"/>
    <n v="10.199999999999999"/>
    <x v="0"/>
  </r>
  <r>
    <n v="86338"/>
    <x v="1"/>
    <n v="2020"/>
    <n v="8"/>
    <n v="9"/>
    <x v="221"/>
    <x v="7"/>
    <n v="0.2"/>
    <n v="15.8"/>
    <n v="8.9"/>
    <n v="6.9"/>
    <x v="0"/>
  </r>
  <r>
    <n v="86338"/>
    <x v="1"/>
    <n v="2020"/>
    <n v="8"/>
    <n v="10"/>
    <x v="222"/>
    <x v="7"/>
    <n v="0"/>
    <n v="14.8"/>
    <n v="5.7"/>
    <n v="9.1000000000000014"/>
    <x v="0"/>
  </r>
  <r>
    <n v="86338"/>
    <x v="1"/>
    <n v="2020"/>
    <n v="8"/>
    <n v="11"/>
    <x v="223"/>
    <x v="7"/>
    <n v="0"/>
    <n v="15.8"/>
    <n v="4.3"/>
    <n v="11.5"/>
    <x v="0"/>
  </r>
  <r>
    <n v="86338"/>
    <x v="1"/>
    <n v="2020"/>
    <n v="8"/>
    <n v="12"/>
    <x v="224"/>
    <x v="7"/>
    <n v="0.8"/>
    <n v="15.9"/>
    <n v="9.4"/>
    <n v="6.5"/>
    <x v="0"/>
  </r>
  <r>
    <n v="86338"/>
    <x v="1"/>
    <n v="2020"/>
    <n v="8"/>
    <n v="13"/>
    <x v="225"/>
    <x v="7"/>
    <n v="1.2"/>
    <n v="18.100000000000001"/>
    <n v="11.4"/>
    <n v="6.7000000000000011"/>
    <x v="0"/>
  </r>
  <r>
    <n v="86338"/>
    <x v="1"/>
    <n v="2020"/>
    <n v="8"/>
    <n v="14"/>
    <x v="226"/>
    <x v="7"/>
    <n v="0.8"/>
    <n v="18.100000000000001"/>
    <n v="10.7"/>
    <n v="7.4000000000000021"/>
    <x v="0"/>
  </r>
  <r>
    <n v="86338"/>
    <x v="1"/>
    <n v="2020"/>
    <n v="8"/>
    <n v="15"/>
    <x v="227"/>
    <x v="7"/>
    <n v="2.8"/>
    <n v="14.9"/>
    <n v="7.4"/>
    <n v="7.5"/>
    <x v="0"/>
  </r>
  <r>
    <n v="86338"/>
    <x v="1"/>
    <n v="2020"/>
    <n v="8"/>
    <n v="16"/>
    <x v="228"/>
    <x v="7"/>
    <n v="0.4"/>
    <n v="15"/>
    <n v="10.7"/>
    <n v="4.3000000000000007"/>
    <x v="0"/>
  </r>
  <r>
    <n v="86338"/>
    <x v="1"/>
    <n v="2020"/>
    <n v="8"/>
    <n v="17"/>
    <x v="229"/>
    <x v="7"/>
    <n v="0"/>
    <n v="16.3"/>
    <n v="9.5"/>
    <n v="6.8000000000000007"/>
    <x v="0"/>
  </r>
  <r>
    <n v="86338"/>
    <x v="1"/>
    <n v="2020"/>
    <n v="8"/>
    <n v="18"/>
    <x v="230"/>
    <x v="7"/>
    <n v="0.2"/>
    <n v="17.2"/>
    <n v="10"/>
    <n v="7.1999999999999993"/>
    <x v="0"/>
  </r>
  <r>
    <n v="86338"/>
    <x v="1"/>
    <n v="2020"/>
    <n v="8"/>
    <n v="19"/>
    <x v="231"/>
    <x v="7"/>
    <n v="1.2"/>
    <n v="12.7"/>
    <n v="9.6999999999999993"/>
    <n v="3"/>
    <x v="0"/>
  </r>
  <r>
    <n v="86338"/>
    <x v="1"/>
    <n v="2020"/>
    <n v="8"/>
    <n v="20"/>
    <x v="232"/>
    <x v="7"/>
    <n v="3.8"/>
    <n v="15.7"/>
    <n v="9.6"/>
    <n v="6.1"/>
    <x v="0"/>
  </r>
  <r>
    <n v="86338"/>
    <x v="1"/>
    <n v="2020"/>
    <n v="8"/>
    <n v="21"/>
    <x v="233"/>
    <x v="7"/>
    <n v="0.4"/>
    <n v="14.1"/>
    <n v="8.5"/>
    <n v="5.6"/>
    <x v="0"/>
  </r>
  <r>
    <n v="86338"/>
    <x v="1"/>
    <n v="2020"/>
    <n v="8"/>
    <n v="22"/>
    <x v="234"/>
    <x v="7"/>
    <n v="4.4000000000000004"/>
    <n v="11.1"/>
    <n v="5.8"/>
    <n v="5.3"/>
    <x v="0"/>
  </r>
  <r>
    <n v="86338"/>
    <x v="1"/>
    <n v="2020"/>
    <n v="8"/>
    <n v="23"/>
    <x v="235"/>
    <x v="7"/>
    <n v="25.6"/>
    <n v="11.5"/>
    <n v="6.8"/>
    <n v="4.7"/>
    <x v="2"/>
  </r>
  <r>
    <n v="86338"/>
    <x v="1"/>
    <n v="2020"/>
    <n v="8"/>
    <n v="24"/>
    <x v="236"/>
    <x v="7"/>
    <n v="2.8"/>
    <n v="12.4"/>
    <n v="6.3"/>
    <n v="6.1000000000000005"/>
    <x v="0"/>
  </r>
  <r>
    <n v="86338"/>
    <x v="1"/>
    <n v="2020"/>
    <n v="8"/>
    <n v="25"/>
    <x v="237"/>
    <x v="7"/>
    <n v="0"/>
    <n v="13"/>
    <n v="3.6"/>
    <n v="9.4"/>
    <x v="0"/>
  </r>
  <r>
    <n v="86338"/>
    <x v="1"/>
    <n v="2020"/>
    <n v="8"/>
    <n v="26"/>
    <x v="238"/>
    <x v="7"/>
    <n v="0"/>
    <n v="14.5"/>
    <n v="6.1"/>
    <n v="8.4"/>
    <x v="0"/>
  </r>
  <r>
    <n v="86338"/>
    <x v="1"/>
    <n v="2020"/>
    <n v="8"/>
    <n v="27"/>
    <x v="239"/>
    <x v="7"/>
    <n v="0"/>
    <n v="20.7"/>
    <n v="8.8000000000000007"/>
    <n v="11.899999999999999"/>
    <x v="0"/>
  </r>
  <r>
    <n v="86338"/>
    <x v="1"/>
    <n v="2020"/>
    <n v="8"/>
    <n v="28"/>
    <x v="240"/>
    <x v="7"/>
    <n v="1.4"/>
    <n v="17.600000000000001"/>
    <n v="8.5"/>
    <n v="9.1000000000000014"/>
    <x v="0"/>
  </r>
  <r>
    <n v="86338"/>
    <x v="1"/>
    <n v="2020"/>
    <n v="8"/>
    <n v="29"/>
    <x v="241"/>
    <x v="7"/>
    <n v="0"/>
    <n v="19.3"/>
    <n v="9.1999999999999993"/>
    <n v="10.100000000000001"/>
    <x v="0"/>
  </r>
  <r>
    <n v="86338"/>
    <x v="1"/>
    <n v="2020"/>
    <n v="8"/>
    <n v="30"/>
    <x v="242"/>
    <x v="7"/>
    <n v="0"/>
    <n v="19.8"/>
    <n v="12"/>
    <n v="7.8000000000000007"/>
    <x v="0"/>
  </r>
  <r>
    <n v="86338"/>
    <x v="1"/>
    <n v="2020"/>
    <n v="8"/>
    <n v="31"/>
    <x v="243"/>
    <x v="7"/>
    <n v="1"/>
    <n v="12.5"/>
    <n v="6.9"/>
    <n v="5.6"/>
    <x v="0"/>
  </r>
  <r>
    <n v="86338"/>
    <x v="1"/>
    <n v="2020"/>
    <n v="9"/>
    <n v="1"/>
    <x v="244"/>
    <x v="8"/>
    <n v="0"/>
    <n v="15.7"/>
    <n v="6.6"/>
    <n v="9.1"/>
    <x v="0"/>
  </r>
  <r>
    <n v="86338"/>
    <x v="1"/>
    <n v="2020"/>
    <n v="9"/>
    <n v="2"/>
    <x v="245"/>
    <x v="8"/>
    <n v="0"/>
    <n v="22"/>
    <n v="8.6"/>
    <n v="13.4"/>
    <x v="0"/>
  </r>
  <r>
    <n v="86338"/>
    <x v="1"/>
    <n v="2020"/>
    <n v="9"/>
    <n v="3"/>
    <x v="246"/>
    <x v="8"/>
    <n v="0"/>
    <n v="19.899999999999999"/>
    <n v="12.9"/>
    <n v="6.9999999999999982"/>
    <x v="0"/>
  </r>
  <r>
    <n v="86338"/>
    <x v="1"/>
    <n v="2020"/>
    <n v="9"/>
    <n v="4"/>
    <x v="247"/>
    <x v="8"/>
    <n v="0"/>
    <n v="17.3"/>
    <n v="9"/>
    <n v="8.3000000000000007"/>
    <x v="0"/>
  </r>
  <r>
    <n v="86338"/>
    <x v="1"/>
    <n v="2020"/>
    <n v="9"/>
    <n v="5"/>
    <x v="248"/>
    <x v="8"/>
    <n v="0.2"/>
    <n v="16.600000000000001"/>
    <n v="9.6999999999999993"/>
    <n v="6.9000000000000021"/>
    <x v="0"/>
  </r>
  <r>
    <n v="86338"/>
    <x v="1"/>
    <n v="2020"/>
    <n v="9"/>
    <n v="6"/>
    <x v="249"/>
    <x v="8"/>
    <n v="0.2"/>
    <n v="19.2"/>
    <n v="6.9"/>
    <n v="12.299999999999999"/>
    <x v="0"/>
  </r>
  <r>
    <n v="86338"/>
    <x v="1"/>
    <n v="2020"/>
    <n v="9"/>
    <n v="7"/>
    <x v="250"/>
    <x v="8"/>
    <n v="0"/>
    <n v="22.9"/>
    <n v="8.8000000000000007"/>
    <n v="14.099999999999998"/>
    <x v="0"/>
  </r>
  <r>
    <n v="86338"/>
    <x v="1"/>
    <n v="2020"/>
    <n v="9"/>
    <n v="8"/>
    <x v="251"/>
    <x v="8"/>
    <n v="0"/>
    <n v="19.899999999999999"/>
    <n v="16.600000000000001"/>
    <n v="3.2999999999999972"/>
    <x v="0"/>
  </r>
  <r>
    <n v="86338"/>
    <x v="1"/>
    <n v="2020"/>
    <n v="9"/>
    <n v="9"/>
    <x v="252"/>
    <x v="8"/>
    <n v="1"/>
    <n v="15.6"/>
    <n v="8.1"/>
    <n v="7.5"/>
    <x v="0"/>
  </r>
  <r>
    <n v="86338"/>
    <x v="1"/>
    <n v="2020"/>
    <n v="9"/>
    <n v="10"/>
    <x v="253"/>
    <x v="8"/>
    <n v="0"/>
    <n v="21.4"/>
    <n v="5.4"/>
    <n v="15.999999999999998"/>
    <x v="0"/>
  </r>
  <r>
    <n v="86338"/>
    <x v="1"/>
    <n v="2020"/>
    <n v="9"/>
    <n v="11"/>
    <x v="254"/>
    <x v="8"/>
    <n v="0"/>
    <n v="19.399999999999999"/>
    <n v="10.4"/>
    <n v="8.9999999999999982"/>
    <x v="0"/>
  </r>
  <r>
    <n v="86338"/>
    <x v="1"/>
    <n v="2020"/>
    <n v="9"/>
    <n v="12"/>
    <x v="255"/>
    <x v="8"/>
    <n v="1.6"/>
    <n v="16"/>
    <n v="13.3"/>
    <n v="2.6999999999999993"/>
    <x v="0"/>
  </r>
  <r>
    <n v="86338"/>
    <x v="1"/>
    <n v="2020"/>
    <n v="9"/>
    <n v="13"/>
    <x v="256"/>
    <x v="8"/>
    <n v="11.8"/>
    <n v="17.2"/>
    <n v="11.9"/>
    <n v="5.2999999999999989"/>
    <x v="0"/>
  </r>
  <r>
    <n v="86338"/>
    <x v="1"/>
    <n v="2020"/>
    <n v="9"/>
    <n v="14"/>
    <x v="257"/>
    <x v="8"/>
    <n v="0"/>
    <n v="16.600000000000001"/>
    <n v="11.1"/>
    <n v="5.5000000000000018"/>
    <x v="0"/>
  </r>
  <r>
    <n v="86338"/>
    <x v="1"/>
    <n v="2020"/>
    <n v="9"/>
    <n v="15"/>
    <x v="258"/>
    <x v="8"/>
    <n v="0"/>
    <n v="15.8"/>
    <n v="7.4"/>
    <n v="8.4"/>
    <x v="0"/>
  </r>
  <r>
    <n v="86338"/>
    <x v="1"/>
    <n v="2020"/>
    <n v="9"/>
    <n v="16"/>
    <x v="259"/>
    <x v="8"/>
    <n v="0"/>
    <n v="22.8"/>
    <n v="7.1"/>
    <n v="15.700000000000001"/>
    <x v="0"/>
  </r>
  <r>
    <n v="86338"/>
    <x v="1"/>
    <n v="2020"/>
    <n v="9"/>
    <n v="17"/>
    <x v="260"/>
    <x v="8"/>
    <n v="0.8"/>
    <n v="15.5"/>
    <n v="11.8"/>
    <n v="3.6999999999999993"/>
    <x v="0"/>
  </r>
  <r>
    <n v="86338"/>
    <x v="1"/>
    <n v="2020"/>
    <n v="9"/>
    <n v="18"/>
    <x v="261"/>
    <x v="8"/>
    <n v="0"/>
    <n v="18.7"/>
    <n v="8.4"/>
    <n v="10.299999999999999"/>
    <x v="0"/>
  </r>
  <r>
    <n v="86338"/>
    <x v="1"/>
    <n v="2020"/>
    <n v="9"/>
    <n v="19"/>
    <x v="262"/>
    <x v="8"/>
    <n v="0"/>
    <n v="26.3"/>
    <n v="11.3"/>
    <n v="15"/>
    <x v="0"/>
  </r>
  <r>
    <n v="86338"/>
    <x v="1"/>
    <n v="2020"/>
    <n v="9"/>
    <n v="20"/>
    <x v="263"/>
    <x v="8"/>
    <n v="0"/>
    <n v="22"/>
    <n v="17.100000000000001"/>
    <n v="4.8999999999999986"/>
    <x v="0"/>
  </r>
  <r>
    <n v="86338"/>
    <x v="1"/>
    <n v="2020"/>
    <n v="9"/>
    <n v="21"/>
    <x v="264"/>
    <x v="8"/>
    <n v="0"/>
    <n v="19.8"/>
    <n v="16.600000000000001"/>
    <n v="3.1999999999999993"/>
    <x v="0"/>
  </r>
  <r>
    <n v="86338"/>
    <x v="1"/>
    <n v="2020"/>
    <n v="9"/>
    <n v="22"/>
    <x v="265"/>
    <x v="8"/>
    <n v="0"/>
    <n v="18.899999999999999"/>
    <n v="12.3"/>
    <n v="6.5999999999999979"/>
    <x v="0"/>
  </r>
  <r>
    <n v="86338"/>
    <x v="1"/>
    <n v="2020"/>
    <n v="9"/>
    <n v="23"/>
    <x v="266"/>
    <x v="8"/>
    <n v="0.2"/>
    <n v="15.1"/>
    <n v="10.6"/>
    <n v="4.5"/>
    <x v="0"/>
  </r>
  <r>
    <n v="86338"/>
    <x v="1"/>
    <n v="2020"/>
    <n v="9"/>
    <n v="24"/>
    <x v="267"/>
    <x v="8"/>
    <n v="1.6"/>
    <n v="15"/>
    <n v="8.1999999999999993"/>
    <n v="6.8000000000000007"/>
    <x v="0"/>
  </r>
  <r>
    <n v="86338"/>
    <x v="1"/>
    <n v="2020"/>
    <n v="9"/>
    <n v="25"/>
    <x v="268"/>
    <x v="8"/>
    <n v="3.2"/>
    <n v="11.9"/>
    <n v="7.2"/>
    <n v="4.7"/>
    <x v="0"/>
  </r>
  <r>
    <n v="86338"/>
    <x v="1"/>
    <n v="2020"/>
    <n v="9"/>
    <n v="26"/>
    <x v="269"/>
    <x v="8"/>
    <n v="9.4"/>
    <n v="13.4"/>
    <n v="6.2"/>
    <n v="7.2"/>
    <x v="0"/>
  </r>
  <r>
    <n v="86338"/>
    <x v="1"/>
    <n v="2020"/>
    <n v="9"/>
    <n v="27"/>
    <x v="270"/>
    <x v="8"/>
    <n v="3"/>
    <n v="13.4"/>
    <n v="8.8000000000000007"/>
    <n v="4.5999999999999996"/>
    <x v="0"/>
  </r>
  <r>
    <n v="86338"/>
    <x v="1"/>
    <n v="2020"/>
    <n v="9"/>
    <n v="28"/>
    <x v="271"/>
    <x v="8"/>
    <n v="0"/>
    <n v="13.6"/>
    <n v="6.5"/>
    <n v="7.1"/>
    <x v="0"/>
  </r>
  <r>
    <n v="86338"/>
    <x v="1"/>
    <n v="2020"/>
    <n v="9"/>
    <n v="29"/>
    <x v="272"/>
    <x v="8"/>
    <n v="0"/>
    <n v="21"/>
    <n v="4.3"/>
    <n v="16.7"/>
    <x v="0"/>
  </r>
  <r>
    <n v="86338"/>
    <x v="1"/>
    <n v="2020"/>
    <n v="9"/>
    <n v="30"/>
    <x v="273"/>
    <x v="8"/>
    <n v="0.6"/>
    <n v="19.399999999999999"/>
    <n v="10.7"/>
    <n v="8.6999999999999993"/>
    <x v="0"/>
  </r>
  <r>
    <n v="86338"/>
    <x v="1"/>
    <n v="2020"/>
    <n v="10"/>
    <n v="1"/>
    <x v="274"/>
    <x v="9"/>
    <n v="1.8"/>
    <n v="19.5"/>
    <n v="9.4"/>
    <n v="10.1"/>
    <x v="0"/>
  </r>
  <r>
    <n v="86338"/>
    <x v="1"/>
    <n v="2020"/>
    <n v="10"/>
    <n v="2"/>
    <x v="275"/>
    <x v="9"/>
    <n v="0"/>
    <n v="26"/>
    <n v="12.8"/>
    <n v="13.2"/>
    <x v="0"/>
  </r>
  <r>
    <n v="86338"/>
    <x v="1"/>
    <n v="2020"/>
    <n v="10"/>
    <n v="3"/>
    <x v="276"/>
    <x v="9"/>
    <n v="0"/>
    <n v="29.4"/>
    <n v="17.399999999999999"/>
    <n v="12"/>
    <x v="0"/>
  </r>
  <r>
    <n v="86338"/>
    <x v="1"/>
    <n v="2020"/>
    <n v="10"/>
    <n v="4"/>
    <x v="277"/>
    <x v="9"/>
    <n v="0"/>
    <n v="29.5"/>
    <n v="13.5"/>
    <n v="16"/>
    <x v="0"/>
  </r>
  <r>
    <n v="86338"/>
    <x v="1"/>
    <n v="2020"/>
    <n v="10"/>
    <n v="5"/>
    <x v="278"/>
    <x v="9"/>
    <n v="12.8"/>
    <n v="12.7"/>
    <n v="9.1"/>
    <n v="3.5999999999999996"/>
    <x v="0"/>
  </r>
  <r>
    <n v="86338"/>
    <x v="1"/>
    <n v="2020"/>
    <n v="10"/>
    <n v="6"/>
    <x v="279"/>
    <x v="9"/>
    <n v="1"/>
    <n v="12.6"/>
    <n v="8.9"/>
    <n v="3.6999999999999993"/>
    <x v="0"/>
  </r>
  <r>
    <n v="86338"/>
    <x v="1"/>
    <n v="2020"/>
    <n v="10"/>
    <n v="7"/>
    <x v="280"/>
    <x v="9"/>
    <n v="3.2"/>
    <n v="17.2"/>
    <n v="10.1"/>
    <n v="7.1"/>
    <x v="0"/>
  </r>
  <r>
    <n v="86338"/>
    <x v="1"/>
    <n v="2020"/>
    <n v="10"/>
    <n v="8"/>
    <x v="281"/>
    <x v="9"/>
    <n v="5.4"/>
    <n v="16.899999999999999"/>
    <n v="11.4"/>
    <n v="5.4999999999999982"/>
    <x v="0"/>
  </r>
  <r>
    <n v="86338"/>
    <x v="1"/>
    <n v="2020"/>
    <n v="10"/>
    <n v="9"/>
    <x v="282"/>
    <x v="9"/>
    <n v="1.2"/>
    <n v="16.7"/>
    <n v="11.7"/>
    <n v="5"/>
    <x v="0"/>
  </r>
  <r>
    <n v="86338"/>
    <x v="1"/>
    <n v="2020"/>
    <n v="10"/>
    <n v="10"/>
    <x v="283"/>
    <x v="9"/>
    <n v="0"/>
    <n v="19.399999999999999"/>
    <n v="10.8"/>
    <n v="8.5999999999999979"/>
    <x v="0"/>
  </r>
  <r>
    <n v="86338"/>
    <x v="1"/>
    <n v="2020"/>
    <n v="10"/>
    <n v="11"/>
    <x v="284"/>
    <x v="9"/>
    <n v="0"/>
    <n v="16"/>
    <n v="11.5"/>
    <n v="4.5"/>
    <x v="0"/>
  </r>
  <r>
    <n v="86338"/>
    <x v="1"/>
    <n v="2020"/>
    <n v="10"/>
    <n v="12"/>
    <x v="285"/>
    <x v="9"/>
    <n v="0"/>
    <n v="25.5"/>
    <n v="6.3"/>
    <n v="19.2"/>
    <x v="0"/>
  </r>
  <r>
    <n v="86338"/>
    <x v="1"/>
    <n v="2020"/>
    <n v="10"/>
    <n v="13"/>
    <x v="286"/>
    <x v="9"/>
    <n v="0.2"/>
    <n v="16.600000000000001"/>
    <n v="10.6"/>
    <n v="6.0000000000000018"/>
    <x v="0"/>
  </r>
  <r>
    <n v="86338"/>
    <x v="1"/>
    <n v="2020"/>
    <n v="10"/>
    <n v="14"/>
    <x v="287"/>
    <x v="9"/>
    <n v="0"/>
    <n v="22.7"/>
    <n v="11.9"/>
    <n v="10.799999999999999"/>
    <x v="0"/>
  </r>
  <r>
    <n v="86338"/>
    <x v="1"/>
    <n v="2020"/>
    <n v="10"/>
    <n v="15"/>
    <x v="288"/>
    <x v="9"/>
    <n v="0"/>
    <n v="24.8"/>
    <n v="13.8"/>
    <n v="11"/>
    <x v="0"/>
  </r>
  <r>
    <n v="86338"/>
    <x v="1"/>
    <n v="2020"/>
    <n v="10"/>
    <n v="16"/>
    <x v="289"/>
    <x v="9"/>
    <n v="1.4"/>
    <n v="18.2"/>
    <n v="9.4"/>
    <n v="8.7999999999999989"/>
    <x v="0"/>
  </r>
  <r>
    <n v="86338"/>
    <x v="1"/>
    <n v="2020"/>
    <n v="10"/>
    <n v="17"/>
    <x v="290"/>
    <x v="9"/>
    <n v="8.4"/>
    <n v="19.2"/>
    <n v="11.9"/>
    <n v="7.2999999999999989"/>
    <x v="0"/>
  </r>
  <r>
    <n v="86338"/>
    <x v="1"/>
    <n v="2020"/>
    <n v="10"/>
    <n v="18"/>
    <x v="291"/>
    <x v="9"/>
    <n v="0.2"/>
    <n v="15.2"/>
    <n v="11.3"/>
    <n v="3.8999999999999986"/>
    <x v="0"/>
  </r>
  <r>
    <n v="86338"/>
    <x v="1"/>
    <n v="2020"/>
    <n v="10"/>
    <n v="19"/>
    <x v="292"/>
    <x v="9"/>
    <n v="0"/>
    <n v="15.5"/>
    <n v="8.1999999999999993"/>
    <n v="7.3000000000000007"/>
    <x v="0"/>
  </r>
  <r>
    <n v="86338"/>
    <x v="1"/>
    <n v="2020"/>
    <n v="10"/>
    <n v="20"/>
    <x v="293"/>
    <x v="9"/>
    <n v="0"/>
    <n v="16.600000000000001"/>
    <n v="7.3"/>
    <n v="9.3000000000000007"/>
    <x v="0"/>
  </r>
  <r>
    <n v="86338"/>
    <x v="1"/>
    <n v="2020"/>
    <n v="10"/>
    <n v="21"/>
    <x v="294"/>
    <x v="9"/>
    <n v="0"/>
    <n v="18.100000000000001"/>
    <n v="10.4"/>
    <n v="7.7000000000000011"/>
    <x v="0"/>
  </r>
  <r>
    <n v="86338"/>
    <x v="1"/>
    <n v="2020"/>
    <n v="10"/>
    <n v="22"/>
    <x v="295"/>
    <x v="9"/>
    <n v="0"/>
    <n v="18"/>
    <n v="9.1999999999999993"/>
    <n v="8.8000000000000007"/>
    <x v="0"/>
  </r>
  <r>
    <n v="86338"/>
    <x v="1"/>
    <n v="2020"/>
    <n v="10"/>
    <n v="23"/>
    <x v="296"/>
    <x v="9"/>
    <n v="0"/>
    <n v="19.7"/>
    <n v="12.9"/>
    <n v="6.7999999999999989"/>
    <x v="0"/>
  </r>
  <r>
    <n v="86338"/>
    <x v="1"/>
    <n v="2020"/>
    <n v="10"/>
    <n v="24"/>
    <x v="297"/>
    <x v="9"/>
    <n v="32.200000000000003"/>
    <n v="14.9"/>
    <n v="11.8"/>
    <n v="3.0999999999999996"/>
    <x v="2"/>
  </r>
  <r>
    <n v="86338"/>
    <x v="1"/>
    <n v="2020"/>
    <n v="10"/>
    <n v="25"/>
    <x v="298"/>
    <x v="9"/>
    <n v="6.4"/>
    <n v="14.6"/>
    <n v="8.3000000000000007"/>
    <n v="6.2999999999999989"/>
    <x v="0"/>
  </r>
  <r>
    <n v="86338"/>
    <x v="1"/>
    <n v="2020"/>
    <n v="10"/>
    <n v="26"/>
    <x v="299"/>
    <x v="9"/>
    <n v="0"/>
    <n v="17.899999999999999"/>
    <n v="9.1999999999999993"/>
    <n v="8.6999999999999993"/>
    <x v="0"/>
  </r>
  <r>
    <n v="86338"/>
    <x v="1"/>
    <n v="2020"/>
    <n v="10"/>
    <n v="27"/>
    <x v="300"/>
    <x v="9"/>
    <n v="0"/>
    <n v="19.600000000000001"/>
    <n v="11.1"/>
    <n v="8.5000000000000018"/>
    <x v="0"/>
  </r>
  <r>
    <n v="86338"/>
    <x v="1"/>
    <n v="2020"/>
    <n v="10"/>
    <n v="28"/>
    <x v="301"/>
    <x v="9"/>
    <n v="0"/>
    <n v="20.9"/>
    <n v="9.5"/>
    <n v="11.399999999999999"/>
    <x v="0"/>
  </r>
  <r>
    <n v="86338"/>
    <x v="1"/>
    <n v="2020"/>
    <n v="10"/>
    <n v="29"/>
    <x v="302"/>
    <x v="9"/>
    <n v="0"/>
    <n v="24.3"/>
    <n v="11.2"/>
    <n v="13.100000000000001"/>
    <x v="0"/>
  </r>
  <r>
    <n v="86338"/>
    <x v="1"/>
    <n v="2020"/>
    <n v="10"/>
    <n v="30"/>
    <x v="303"/>
    <x v="9"/>
    <n v="0"/>
    <n v="18.600000000000001"/>
    <n v="12.9"/>
    <n v="5.7000000000000011"/>
    <x v="0"/>
  </r>
  <r>
    <n v="86338"/>
    <x v="1"/>
    <n v="2020"/>
    <n v="10"/>
    <n v="31"/>
    <x v="304"/>
    <x v="9"/>
    <n v="0"/>
    <n v="16.8"/>
    <n v="14.2"/>
    <n v="2.6000000000000014"/>
    <x v="0"/>
  </r>
  <r>
    <n v="86338"/>
    <x v="1"/>
    <n v="2020"/>
    <n v="11"/>
    <n v="1"/>
    <x v="305"/>
    <x v="10"/>
    <n v="0"/>
    <n v="17"/>
    <n v="12.6"/>
    <n v="4.4000000000000004"/>
    <x v="0"/>
  </r>
  <r>
    <n v="86338"/>
    <x v="1"/>
    <n v="2020"/>
    <n v="11"/>
    <n v="2"/>
    <x v="306"/>
    <x v="10"/>
    <n v="0"/>
    <n v="29.5"/>
    <n v="9.6"/>
    <n v="19.899999999999999"/>
    <x v="0"/>
  </r>
  <r>
    <n v="86338"/>
    <x v="1"/>
    <n v="2020"/>
    <n v="11"/>
    <n v="3"/>
    <x v="307"/>
    <x v="10"/>
    <n v="0"/>
    <n v="30.4"/>
    <n v="12.1"/>
    <n v="18.299999999999997"/>
    <x v="0"/>
  </r>
  <r>
    <n v="86338"/>
    <x v="1"/>
    <n v="2020"/>
    <n v="11"/>
    <n v="4"/>
    <x v="308"/>
    <x v="10"/>
    <n v="0"/>
    <n v="22.8"/>
    <n v="21.9"/>
    <n v="0.90000000000000213"/>
    <x v="0"/>
  </r>
  <r>
    <n v="86338"/>
    <x v="1"/>
    <n v="2020"/>
    <n v="11"/>
    <n v="5"/>
    <x v="309"/>
    <x v="10"/>
    <n v="2.8"/>
    <n v="15.8"/>
    <n v="11.1"/>
    <n v="4.7000000000000011"/>
    <x v="0"/>
  </r>
  <r>
    <n v="86338"/>
    <x v="1"/>
    <n v="2020"/>
    <n v="11"/>
    <n v="6"/>
    <x v="310"/>
    <x v="10"/>
    <n v="0.2"/>
    <n v="16.600000000000001"/>
    <n v="9.5"/>
    <n v="7.1000000000000014"/>
    <x v="0"/>
  </r>
  <r>
    <n v="86338"/>
    <x v="1"/>
    <n v="2020"/>
    <n v="11"/>
    <n v="7"/>
    <x v="311"/>
    <x v="10"/>
    <n v="1.6"/>
    <n v="16.100000000000001"/>
    <n v="11.3"/>
    <n v="4.8000000000000007"/>
    <x v="0"/>
  </r>
  <r>
    <n v="86338"/>
    <x v="1"/>
    <n v="2020"/>
    <n v="11"/>
    <n v="8"/>
    <x v="312"/>
    <x v="10"/>
    <n v="0"/>
    <n v="19.5"/>
    <n v="8.4"/>
    <n v="11.1"/>
    <x v="0"/>
  </r>
  <r>
    <n v="86338"/>
    <x v="1"/>
    <n v="2020"/>
    <n v="11"/>
    <n v="9"/>
    <x v="313"/>
    <x v="10"/>
    <n v="0"/>
    <n v="29"/>
    <n v="11.3"/>
    <n v="17.7"/>
    <x v="0"/>
  </r>
  <r>
    <n v="86338"/>
    <x v="1"/>
    <n v="2020"/>
    <n v="11"/>
    <n v="10"/>
    <x v="314"/>
    <x v="10"/>
    <n v="0"/>
    <n v="32"/>
    <n v="16.100000000000001"/>
    <n v="15.899999999999999"/>
    <x v="0"/>
  </r>
  <r>
    <n v="86338"/>
    <x v="1"/>
    <n v="2020"/>
    <n v="11"/>
    <n v="11"/>
    <x v="315"/>
    <x v="10"/>
    <n v="0"/>
    <n v="28.3"/>
    <n v="22.8"/>
    <n v="5.5"/>
    <x v="0"/>
  </r>
  <r>
    <n v="86338"/>
    <x v="1"/>
    <n v="2020"/>
    <n v="11"/>
    <n v="12"/>
    <x v="316"/>
    <x v="10"/>
    <n v="4"/>
    <n v="25.5"/>
    <n v="19.3"/>
    <n v="6.1999999999999993"/>
    <x v="0"/>
  </r>
  <r>
    <n v="86338"/>
    <x v="1"/>
    <n v="2020"/>
    <n v="11"/>
    <n v="13"/>
    <x v="317"/>
    <x v="10"/>
    <n v="0"/>
    <n v="20.6"/>
    <n v="15.4"/>
    <n v="5.2000000000000011"/>
    <x v="0"/>
  </r>
  <r>
    <n v="86338"/>
    <x v="1"/>
    <n v="2020"/>
    <n v="11"/>
    <n v="14"/>
    <x v="318"/>
    <x v="10"/>
    <n v="0.2"/>
    <n v="21"/>
    <n v="13.5"/>
    <n v="7.5"/>
    <x v="0"/>
  </r>
  <r>
    <n v="86338"/>
    <x v="1"/>
    <n v="2020"/>
    <n v="11"/>
    <n v="15"/>
    <x v="319"/>
    <x v="10"/>
    <n v="0"/>
    <n v="32.5"/>
    <n v="12.3"/>
    <n v="20.2"/>
    <x v="0"/>
  </r>
  <r>
    <n v="86338"/>
    <x v="1"/>
    <n v="2020"/>
    <n v="11"/>
    <n v="16"/>
    <x v="320"/>
    <x v="10"/>
    <n v="0"/>
    <n v="24.3"/>
    <n v="18.2"/>
    <n v="6.1000000000000014"/>
    <x v="0"/>
  </r>
  <r>
    <n v="86338"/>
    <x v="1"/>
    <n v="2020"/>
    <n v="11"/>
    <n v="17"/>
    <x v="321"/>
    <x v="10"/>
    <n v="0"/>
    <n v="21.1"/>
    <n v="11.9"/>
    <n v="9.2000000000000011"/>
    <x v="0"/>
  </r>
  <r>
    <n v="86338"/>
    <x v="1"/>
    <n v="2020"/>
    <n v="11"/>
    <n v="18"/>
    <x v="322"/>
    <x v="10"/>
    <n v="0"/>
    <n v="29.5"/>
    <n v="10.8"/>
    <n v="18.7"/>
    <x v="0"/>
  </r>
  <r>
    <n v="86338"/>
    <x v="1"/>
    <n v="2020"/>
    <n v="11"/>
    <n v="19"/>
    <x v="323"/>
    <x v="10"/>
    <n v="0"/>
    <n v="34.4"/>
    <n v="16.100000000000001"/>
    <n v="18.299999999999997"/>
    <x v="0"/>
  </r>
  <r>
    <n v="86338"/>
    <x v="1"/>
    <n v="2020"/>
    <n v="11"/>
    <n v="20"/>
    <x v="324"/>
    <x v="10"/>
    <n v="0"/>
    <n v="20.2"/>
    <n v="15.6"/>
    <n v="4.5999999999999996"/>
    <x v="0"/>
  </r>
  <r>
    <n v="86338"/>
    <x v="1"/>
    <n v="2020"/>
    <n v="11"/>
    <n v="21"/>
    <x v="325"/>
    <x v="10"/>
    <n v="0"/>
    <n v="25.7"/>
    <n v="13.3"/>
    <n v="12.399999999999999"/>
    <x v="0"/>
  </r>
  <r>
    <n v="86338"/>
    <x v="1"/>
    <n v="2020"/>
    <n v="11"/>
    <n v="22"/>
    <x v="326"/>
    <x v="10"/>
    <n v="0"/>
    <n v="28.2"/>
    <n v="16.100000000000001"/>
    <n v="12.099999999999998"/>
    <x v="0"/>
  </r>
  <r>
    <n v="86338"/>
    <x v="1"/>
    <n v="2020"/>
    <n v="11"/>
    <n v="23"/>
    <x v="327"/>
    <x v="10"/>
    <n v="30.2"/>
    <n v="18.8"/>
    <n v="16.600000000000001"/>
    <n v="2.1999999999999993"/>
    <x v="2"/>
  </r>
  <r>
    <n v="86338"/>
    <x v="1"/>
    <n v="2020"/>
    <n v="11"/>
    <n v="24"/>
    <x v="328"/>
    <x v="10"/>
    <n v="6"/>
    <n v="20.3"/>
    <n v="13.5"/>
    <n v="6.8000000000000007"/>
    <x v="0"/>
  </r>
  <r>
    <n v="86338"/>
    <x v="1"/>
    <n v="2020"/>
    <n v="11"/>
    <n v="25"/>
    <x v="329"/>
    <x v="10"/>
    <n v="0"/>
    <n v="30.5"/>
    <n v="13.2"/>
    <n v="17.3"/>
    <x v="0"/>
  </r>
  <r>
    <n v="86338"/>
    <x v="1"/>
    <n v="2020"/>
    <n v="11"/>
    <n v="26"/>
    <x v="330"/>
    <x v="10"/>
    <n v="0"/>
    <n v="19.399999999999999"/>
    <n v="15.8"/>
    <n v="3.5999999999999979"/>
    <x v="0"/>
  </r>
  <r>
    <n v="86338"/>
    <x v="1"/>
    <n v="2020"/>
    <n v="11"/>
    <n v="27"/>
    <x v="331"/>
    <x v="10"/>
    <n v="0"/>
    <n v="36"/>
    <n v="10.199999999999999"/>
    <n v="25.8"/>
    <x v="1"/>
  </r>
  <r>
    <n v="86338"/>
    <x v="1"/>
    <n v="2020"/>
    <n v="11"/>
    <n v="28"/>
    <x v="332"/>
    <x v="10"/>
    <n v="0"/>
    <n v="22.9"/>
    <n v="16"/>
    <n v="6.8999999999999986"/>
    <x v="0"/>
  </r>
  <r>
    <n v="86338"/>
    <x v="1"/>
    <n v="2020"/>
    <n v="11"/>
    <n v="29"/>
    <x v="333"/>
    <x v="10"/>
    <n v="2.8"/>
    <n v="18.600000000000001"/>
    <n v="14.4"/>
    <n v="4.2000000000000011"/>
    <x v="0"/>
  </r>
  <r>
    <n v="86338"/>
    <x v="1"/>
    <n v="2020"/>
    <n v="11"/>
    <n v="30"/>
    <x v="334"/>
    <x v="10"/>
    <n v="1"/>
    <n v="27.2"/>
    <n v="12.1"/>
    <n v="15.1"/>
    <x v="0"/>
  </r>
  <r>
    <n v="86338"/>
    <x v="1"/>
    <n v="2020"/>
    <n v="12"/>
    <n v="1"/>
    <x v="335"/>
    <x v="11"/>
    <n v="0"/>
    <n v="26.2"/>
    <n v="16.8"/>
    <n v="9.3999999999999986"/>
    <x v="0"/>
  </r>
  <r>
    <n v="86338"/>
    <x v="1"/>
    <n v="2020"/>
    <n v="12"/>
    <n v="2"/>
    <x v="336"/>
    <x v="11"/>
    <n v="0.2"/>
    <n v="18.600000000000001"/>
    <n v="11.9"/>
    <n v="6.7000000000000011"/>
    <x v="0"/>
  </r>
  <r>
    <n v="86338"/>
    <x v="1"/>
    <n v="2020"/>
    <n v="12"/>
    <n v="3"/>
    <x v="337"/>
    <x v="11"/>
    <n v="0"/>
    <n v="23.7"/>
    <n v="10.6"/>
    <n v="13.1"/>
    <x v="0"/>
  </r>
  <r>
    <n v="86338"/>
    <x v="1"/>
    <n v="2020"/>
    <n v="12"/>
    <n v="4"/>
    <x v="338"/>
    <x v="11"/>
    <n v="0"/>
    <n v="22.9"/>
    <n v="11.4"/>
    <n v="11.499999999999998"/>
    <x v="0"/>
  </r>
  <r>
    <n v="86338"/>
    <x v="1"/>
    <n v="2020"/>
    <n v="12"/>
    <n v="5"/>
    <x v="339"/>
    <x v="11"/>
    <n v="0"/>
    <n v="28.4"/>
    <n v="13.9"/>
    <n v="14.499999999999998"/>
    <x v="0"/>
  </r>
  <r>
    <n v="86338"/>
    <x v="1"/>
    <n v="2020"/>
    <n v="12"/>
    <n v="6"/>
    <x v="340"/>
    <x v="11"/>
    <n v="1.4"/>
    <n v="20.5"/>
    <n v="12.9"/>
    <n v="7.6"/>
    <x v="0"/>
  </r>
  <r>
    <n v="86338"/>
    <x v="1"/>
    <n v="2020"/>
    <n v="12"/>
    <n v="7"/>
    <x v="341"/>
    <x v="11"/>
    <n v="2.6"/>
    <n v="17.3"/>
    <n v="11.3"/>
    <n v="6"/>
    <x v="0"/>
  </r>
  <r>
    <n v="86338"/>
    <x v="1"/>
    <n v="2020"/>
    <n v="12"/>
    <n v="8"/>
    <x v="342"/>
    <x v="11"/>
    <n v="6"/>
    <n v="17.100000000000001"/>
    <n v="10.6"/>
    <n v="6.5000000000000018"/>
    <x v="0"/>
  </r>
  <r>
    <n v="86338"/>
    <x v="1"/>
    <n v="2020"/>
    <n v="12"/>
    <n v="9"/>
    <x v="343"/>
    <x v="11"/>
    <n v="0"/>
    <n v="21.5"/>
    <n v="11.7"/>
    <n v="9.8000000000000007"/>
    <x v="0"/>
  </r>
  <r>
    <n v="86338"/>
    <x v="1"/>
    <n v="2020"/>
    <n v="12"/>
    <n v="10"/>
    <x v="344"/>
    <x v="11"/>
    <n v="0.6"/>
    <n v="17.7"/>
    <n v="13.1"/>
    <n v="4.5999999999999996"/>
    <x v="0"/>
  </r>
  <r>
    <n v="86338"/>
    <x v="1"/>
    <n v="2020"/>
    <n v="12"/>
    <n v="11"/>
    <x v="345"/>
    <x v="11"/>
    <n v="0"/>
    <n v="21.1"/>
    <n v="9.6"/>
    <n v="11.500000000000002"/>
    <x v="0"/>
  </r>
  <r>
    <n v="86338"/>
    <x v="1"/>
    <n v="2020"/>
    <n v="12"/>
    <n v="12"/>
    <x v="346"/>
    <x v="11"/>
    <n v="0"/>
    <n v="28.1"/>
    <n v="11.9"/>
    <n v="16.200000000000003"/>
    <x v="0"/>
  </r>
  <r>
    <n v="86338"/>
    <x v="1"/>
    <n v="2020"/>
    <n v="12"/>
    <n v="13"/>
    <x v="347"/>
    <x v="11"/>
    <n v="0"/>
    <n v="30.2"/>
    <n v="16"/>
    <n v="14.2"/>
    <x v="0"/>
  </r>
  <r>
    <n v="86338"/>
    <x v="1"/>
    <n v="2020"/>
    <n v="12"/>
    <n v="14"/>
    <x v="348"/>
    <x v="11"/>
    <n v="0"/>
    <n v="33.700000000000003"/>
    <n v="17.7"/>
    <n v="16.000000000000004"/>
    <x v="0"/>
  </r>
  <r>
    <n v="86338"/>
    <x v="1"/>
    <n v="2020"/>
    <n v="12"/>
    <n v="15"/>
    <x v="349"/>
    <x v="11"/>
    <n v="0"/>
    <n v="33.5"/>
    <n v="20.399999999999999"/>
    <n v="13.100000000000001"/>
    <x v="0"/>
  </r>
  <r>
    <n v="86338"/>
    <x v="1"/>
    <n v="2020"/>
    <n v="12"/>
    <n v="16"/>
    <x v="350"/>
    <x v="11"/>
    <n v="0"/>
    <n v="24.6"/>
    <n v="15.8"/>
    <n v="8.8000000000000007"/>
    <x v="0"/>
  </r>
  <r>
    <n v="86338"/>
    <x v="1"/>
    <n v="2020"/>
    <n v="12"/>
    <n v="17"/>
    <x v="351"/>
    <x v="11"/>
    <n v="0"/>
    <n v="25.7"/>
    <n v="15.5"/>
    <n v="10.199999999999999"/>
    <x v="0"/>
  </r>
  <r>
    <n v="86338"/>
    <x v="1"/>
    <n v="2020"/>
    <n v="12"/>
    <n v="18"/>
    <x v="352"/>
    <x v="11"/>
    <n v="7.6"/>
    <n v="18.399999999999999"/>
    <n v="12.5"/>
    <n v="5.8999999999999986"/>
    <x v="0"/>
  </r>
  <r>
    <n v="86338"/>
    <x v="1"/>
    <n v="2020"/>
    <n v="12"/>
    <n v="19"/>
    <x v="353"/>
    <x v="11"/>
    <n v="0.2"/>
    <n v="19.899999999999999"/>
    <n v="12.3"/>
    <n v="7.5999999999999979"/>
    <x v="0"/>
  </r>
  <r>
    <n v="86338"/>
    <x v="1"/>
    <n v="2020"/>
    <n v="12"/>
    <n v="20"/>
    <x v="354"/>
    <x v="11"/>
    <n v="0"/>
    <n v="18.899999999999999"/>
    <n v="9.9"/>
    <n v="8.9999999999999982"/>
    <x v="0"/>
  </r>
  <r>
    <n v="86338"/>
    <x v="1"/>
    <n v="2020"/>
    <n v="12"/>
    <n v="21"/>
    <x v="355"/>
    <x v="11"/>
    <n v="0"/>
    <n v="21.5"/>
    <n v="11.2"/>
    <n v="10.3"/>
    <x v="0"/>
  </r>
  <r>
    <n v="86338"/>
    <x v="1"/>
    <n v="2020"/>
    <n v="12"/>
    <n v="22"/>
    <x v="356"/>
    <x v="11"/>
    <n v="13.2"/>
    <n v="20.399999999999999"/>
    <n v="13.8"/>
    <n v="6.5999999999999979"/>
    <x v="0"/>
  </r>
  <r>
    <n v="86338"/>
    <x v="1"/>
    <n v="2020"/>
    <n v="12"/>
    <n v="23"/>
    <x v="357"/>
    <x v="11"/>
    <n v="6"/>
    <n v="19.5"/>
    <n v="13.5"/>
    <n v="6"/>
    <x v="0"/>
  </r>
  <r>
    <n v="86338"/>
    <x v="1"/>
    <n v="2020"/>
    <n v="12"/>
    <n v="24"/>
    <x v="358"/>
    <x v="11"/>
    <n v="1"/>
    <n v="18.7"/>
    <n v="13.4"/>
    <n v="5.2999999999999989"/>
    <x v="0"/>
  </r>
  <r>
    <n v="86338"/>
    <x v="1"/>
    <n v="2020"/>
    <n v="12"/>
    <n v="25"/>
    <x v="359"/>
    <x v="11"/>
    <n v="0"/>
    <n v="20"/>
    <n v="13.6"/>
    <n v="6.4"/>
    <x v="0"/>
  </r>
  <r>
    <n v="86338"/>
    <x v="1"/>
    <n v="2020"/>
    <n v="12"/>
    <n v="26"/>
    <x v="360"/>
    <x v="11"/>
    <n v="0"/>
    <n v="27.4"/>
    <n v="10.199999999999999"/>
    <n v="17.2"/>
    <x v="0"/>
  </r>
  <r>
    <n v="86338"/>
    <x v="1"/>
    <n v="2020"/>
    <n v="12"/>
    <n v="27"/>
    <x v="361"/>
    <x v="11"/>
    <n v="0"/>
    <n v="31.9"/>
    <n v="16.2"/>
    <n v="15.7"/>
    <x v="0"/>
  </r>
  <r>
    <n v="86338"/>
    <x v="1"/>
    <n v="2020"/>
    <n v="12"/>
    <n v="28"/>
    <x v="362"/>
    <x v="11"/>
    <n v="3.2"/>
    <n v="17.8"/>
    <n v="11.5"/>
    <n v="6.3000000000000007"/>
    <x v="0"/>
  </r>
  <r>
    <n v="86338"/>
    <x v="1"/>
    <n v="2020"/>
    <n v="12"/>
    <n v="29"/>
    <x v="363"/>
    <x v="11"/>
    <n v="0"/>
    <n v="21.3"/>
    <n v="9"/>
    <n v="12.3"/>
    <x v="0"/>
  </r>
  <r>
    <n v="86338"/>
    <x v="1"/>
    <n v="2020"/>
    <n v="12"/>
    <n v="30"/>
    <x v="364"/>
    <x v="11"/>
    <n v="0"/>
    <n v="21.4"/>
    <n v="13.7"/>
    <n v="7.6999999999999993"/>
    <x v="0"/>
  </r>
  <r>
    <n v="86338"/>
    <x v="1"/>
    <n v="2020"/>
    <n v="12"/>
    <n v="31"/>
    <x v="365"/>
    <x v="11"/>
    <n v="0"/>
    <n v="21.2"/>
    <n v="15.5"/>
    <n v="5.699999999999999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B69258-C81C-4B1C-8BBE-7BD0803C9E97}" name="HelperPivo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Month">
  <location ref="A3:A5" firstHeaderRow="1" firstDataRow="1" firstDataCol="1"/>
  <pivotFields count="13">
    <pivotField showAll="0"/>
    <pivotField showAll="0">
      <items count="3">
        <item x="0"/>
        <item h="1" x="1"/>
        <item t="default"/>
      </items>
    </pivotField>
    <pivotField showAll="0"/>
    <pivotField showAll="0"/>
    <pivotField showAll="0"/>
    <pivotField numFmtId="14" showAll="0"/>
    <pivotField axis="axisRow" showAll="0">
      <items count="13">
        <item h="1" x="0"/>
        <item x="1"/>
        <item h="1" x="2"/>
        <item h="1" x="3"/>
        <item h="1" x="4"/>
        <item h="1" x="5"/>
        <item h="1" x="6"/>
        <item h="1" x="7"/>
        <item h="1" x="8"/>
        <item h="1" x="9"/>
        <item h="1" x="10"/>
        <item h="1" x="11"/>
        <item t="default"/>
      </items>
    </pivotField>
    <pivotField showAll="0"/>
    <pivotField showAll="0"/>
    <pivotField showAll="0"/>
    <pivotField numFmtId="164" showAll="0"/>
    <pivotField showAll="0"/>
    <pivotField showAll="0" defaultSubtotal="0"/>
  </pivotFields>
  <rowFields count="1">
    <field x="6"/>
  </rowFields>
  <rowItems count="2">
    <i>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308FD1-F3EE-4CFC-8A43-EA24B5982D30}" name="PivotStat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5" firstHeaderRow="1" firstDataRow="1" firstDataCol="1"/>
  <pivotFields count="13">
    <pivotField showAll="0"/>
    <pivotField axis="axisRow" showAll="0">
      <items count="3">
        <item x="0"/>
        <item h="1" x="1"/>
        <item t="default"/>
      </items>
    </pivotField>
    <pivotField showAll="0"/>
    <pivotField showAll="0"/>
    <pivotField showAll="0"/>
    <pivotField numFmtId="14" showAll="0"/>
    <pivotField showAll="0">
      <items count="13">
        <item h="1" x="0"/>
        <item x="1"/>
        <item h="1" x="2"/>
        <item h="1" x="3"/>
        <item h="1" x="4"/>
        <item h="1" x="5"/>
        <item h="1" x="6"/>
        <item h="1" x="7"/>
        <item h="1" x="8"/>
        <item h="1" x="9"/>
        <item h="1" x="10"/>
        <item h="1" x="11"/>
        <item t="default"/>
      </items>
    </pivotField>
    <pivotField numFmtId="164" showAll="0"/>
    <pivotField numFmtId="164" showAll="0"/>
    <pivotField numFmtId="164" showAll="0"/>
    <pivotField numFmtId="164" showAll="0"/>
    <pivotField showAll="0"/>
    <pivotField showAll="0" defaultSubtotal="0"/>
  </pivotFields>
  <rowFields count="1">
    <field x="1"/>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427877-151B-4DD4-B78F-665C3F28C34D}" name="MonthDetails" cacheId="0" applyNumberFormats="0" applyBorderFormats="0" applyFontFormats="0" applyPatternFormats="0" applyAlignmentFormats="0" applyWidthHeightFormats="1" dataCaption="Values" updatedVersion="7" minRefreshableVersion="3" showDrill="0" showDataTips="0" useAutoFormatting="1" itemPrintTitles="1" createdVersion="7" indent="0" outline="1" outlineData="1" multipleFieldFilters="0" chartFormat="34" rowHeaderCaption="Month" colHeaderCaption="">
  <location ref="A4:E6" firstHeaderRow="0" firstDataRow="1" firstDataCol="1"/>
  <pivotFields count="13">
    <pivotField showAll="0"/>
    <pivotField showAll="0">
      <items count="3">
        <item x="0"/>
        <item h="1" x="1"/>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3">
        <item h="1" sd="0" x="0"/>
        <item sd="0" x="1"/>
        <item h="1" sd="0" x="2"/>
        <item h="1" sd="0" x="3"/>
        <item h="1" sd="0" x="4"/>
        <item h="1" sd="0" x="5"/>
        <item h="1" sd="0" x="6"/>
        <item h="1" sd="0" x="7"/>
        <item h="1" sd="0" x="8"/>
        <item h="1" sd="0" x="9"/>
        <item h="1" sd="0" x="10"/>
        <item h="1" sd="0" x="11"/>
        <item t="default" sd="0"/>
      </items>
    </pivotField>
    <pivotField dataField="1" showAll="0"/>
    <pivotField dataField="1" showAll="0"/>
    <pivotField dataField="1" showAll="0"/>
    <pivotField dataField="1" numFmtId="164" showAll="0"/>
    <pivotField axis="axisRow" showAll="0">
      <items count="5">
        <item sd="0" x="3"/>
        <item sd="0" x="1"/>
        <item sd="0" x="2"/>
        <item sd="0" x="0"/>
        <item t="default" sd="0"/>
      </items>
    </pivotField>
    <pivotField axis="axisRow" showAll="0" defaultSubtotal="0">
      <items count="14">
        <item x="0"/>
        <item x="1"/>
        <item sd="0" x="2"/>
        <item sd="0" x="3"/>
        <item sd="0" x="4"/>
        <item x="5"/>
        <item x="6"/>
        <item x="7"/>
        <item x="8"/>
        <item x="9"/>
        <item x="10"/>
        <item x="11"/>
        <item x="12"/>
        <item x="13"/>
      </items>
    </pivotField>
  </pivotFields>
  <rowFields count="3">
    <field x="6"/>
    <field x="11"/>
    <field x="12"/>
  </rowFields>
  <rowItems count="2">
    <i>
      <x v="1"/>
    </i>
    <i t="grand">
      <x/>
    </i>
  </rowItems>
  <colFields count="1">
    <field x="-2"/>
  </colFields>
  <colItems count="4">
    <i>
      <x/>
    </i>
    <i i="1">
      <x v="1"/>
    </i>
    <i i="2">
      <x v="2"/>
    </i>
    <i i="3">
      <x v="3"/>
    </i>
  </colItems>
  <dataFields count="4">
    <dataField name="Max Temp" fld="8" subtotal="max" baseField="6" baseItem="0"/>
    <dataField name="Min Temp" fld="9" subtotal="min" baseField="6" baseItem="0"/>
    <dataField name="Total Rainfall" fld="7" baseField="6" baseItem="0"/>
    <dataField name="Max Temp Range " fld="10" subtotal="max" baseField="6" baseItem="0"/>
  </dataFields>
  <formats count="5">
    <format dxfId="29">
      <pivotArea collapsedLevelsAreSubtotals="1" fieldPosition="0">
        <references count="2">
          <reference field="4294967294" count="1" selected="0">
            <x v="2"/>
          </reference>
          <reference field="6" count="0"/>
        </references>
      </pivotArea>
    </format>
    <format dxfId="28">
      <pivotArea dataOnly="0" labelOnly="1" fieldPosition="0">
        <references count="1">
          <reference field="6" count="0"/>
        </references>
      </pivotArea>
    </format>
    <format dxfId="27">
      <pivotArea collapsedLevelsAreSubtotals="1" fieldPosition="0">
        <references count="2">
          <reference field="4294967294" count="1" selected="0">
            <x v="3"/>
          </reference>
          <reference field="6" count="0"/>
        </references>
      </pivotArea>
    </format>
    <format dxfId="26">
      <pivotArea dataOnly="0" labelOnly="1" outline="0" fieldPosition="0">
        <references count="1">
          <reference field="4294967294" count="1">
            <x v="3"/>
          </reference>
        </references>
      </pivotArea>
    </format>
    <format dxfId="25">
      <pivotArea field="6" grandRow="1" outline="0" collapsedLevelsAreSubtotals="1" axis="axisRow" fieldPosition="0">
        <references count="1">
          <reference field="4294967294" count="1" selected="0">
            <x v="3"/>
          </reference>
        </references>
      </pivotArea>
    </format>
  </formats>
  <chartFormats count="7">
    <chartFormat chart="10" format="30" series="1">
      <pivotArea type="data" outline="0" fieldPosition="0">
        <references count="1">
          <reference field="4294967294" count="1" selected="0">
            <x v="0"/>
          </reference>
        </references>
      </pivotArea>
    </chartFormat>
    <chartFormat chart="10" format="31" series="1">
      <pivotArea type="data" outline="0" fieldPosition="0">
        <references count="1">
          <reference field="4294967294" count="1" selected="0">
            <x v="1"/>
          </reference>
        </references>
      </pivotArea>
    </chartFormat>
    <chartFormat chart="10" format="32" series="1">
      <pivotArea type="data" outline="0" fieldPosition="0">
        <references count="1">
          <reference field="4294967294" count="1" selected="0">
            <x v="2"/>
          </reference>
        </references>
      </pivotArea>
    </chartFormat>
    <chartFormat chart="11" format="36" series="1">
      <pivotArea type="data" outline="0" fieldPosition="0">
        <references count="1">
          <reference field="4294967294" count="1" selected="0">
            <x v="0"/>
          </reference>
        </references>
      </pivotArea>
    </chartFormat>
    <chartFormat chart="11" format="37" series="1">
      <pivotArea type="data" outline="0" fieldPosition="0">
        <references count="1">
          <reference field="4294967294" count="1" selected="0">
            <x v="1"/>
          </reference>
        </references>
      </pivotArea>
    </chartFormat>
    <chartFormat chart="11" format="38" series="1">
      <pivotArea type="data" outline="0" fieldPosition="0">
        <references count="1">
          <reference field="4294967294" count="1" selected="0">
            <x v="2"/>
          </reference>
        </references>
      </pivotArea>
    </chartFormat>
    <chartFormat chart="10" format="36"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08793C-B340-45D6-8336-7E11243BD965}" name="Daily Summa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rowHeaderCaption="Date">
  <location ref="A4:C63" firstHeaderRow="0" firstDataRow="1" firstDataCol="1"/>
  <pivotFields count="13">
    <pivotField showAll="0"/>
    <pivotField showAll="0">
      <items count="3">
        <item x="0"/>
        <item h="1" x="1"/>
        <item t="default"/>
      </items>
    </pivotField>
    <pivotField showAll="0"/>
    <pivotField showAll="0"/>
    <pivotField showAll="0"/>
    <pivotField axis="axisRow" numFmtId="14" multipleItemSelectionAllowed="1"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3">
        <item h="1" x="0"/>
        <item x="1"/>
        <item h="1" x="2"/>
        <item h="1" x="3"/>
        <item h="1" x="4"/>
        <item h="1" x="5"/>
        <item h="1" x="6"/>
        <item h="1" x="7"/>
        <item h="1" x="8"/>
        <item h="1" x="9"/>
        <item h="1" x="10"/>
        <item h="1" x="11"/>
        <item t="default"/>
      </items>
    </pivotField>
    <pivotField name="Rainfall (mms)2" dataField="1" showAll="0"/>
    <pivotField showAll="0"/>
    <pivotField showAll="0"/>
    <pivotField dataField="1"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5"/>
    <field x="12"/>
  </rowFields>
  <rowItems count="59">
    <i>
      <x v="32"/>
    </i>
    <i r="1">
      <x v="2"/>
    </i>
    <i>
      <x v="33"/>
    </i>
    <i r="1">
      <x v="2"/>
    </i>
    <i>
      <x v="34"/>
    </i>
    <i r="1">
      <x v="2"/>
    </i>
    <i>
      <x v="35"/>
    </i>
    <i r="1">
      <x v="2"/>
    </i>
    <i>
      <x v="36"/>
    </i>
    <i r="1">
      <x v="2"/>
    </i>
    <i>
      <x v="37"/>
    </i>
    <i r="1">
      <x v="2"/>
    </i>
    <i>
      <x v="38"/>
    </i>
    <i r="1">
      <x v="2"/>
    </i>
    <i>
      <x v="39"/>
    </i>
    <i r="1">
      <x v="2"/>
    </i>
    <i>
      <x v="40"/>
    </i>
    <i r="1">
      <x v="2"/>
    </i>
    <i>
      <x v="41"/>
    </i>
    <i r="1">
      <x v="2"/>
    </i>
    <i>
      <x v="42"/>
    </i>
    <i r="1">
      <x v="2"/>
    </i>
    <i>
      <x v="43"/>
    </i>
    <i r="1">
      <x v="2"/>
    </i>
    <i>
      <x v="44"/>
    </i>
    <i r="1">
      <x v="2"/>
    </i>
    <i>
      <x v="45"/>
    </i>
    <i r="1">
      <x v="2"/>
    </i>
    <i>
      <x v="46"/>
    </i>
    <i r="1">
      <x v="2"/>
    </i>
    <i>
      <x v="47"/>
    </i>
    <i r="1">
      <x v="2"/>
    </i>
    <i>
      <x v="48"/>
    </i>
    <i r="1">
      <x v="2"/>
    </i>
    <i>
      <x v="49"/>
    </i>
    <i r="1">
      <x v="2"/>
    </i>
    <i>
      <x v="50"/>
    </i>
    <i r="1">
      <x v="2"/>
    </i>
    <i>
      <x v="51"/>
    </i>
    <i r="1">
      <x v="2"/>
    </i>
    <i>
      <x v="52"/>
    </i>
    <i r="1">
      <x v="2"/>
    </i>
    <i>
      <x v="53"/>
    </i>
    <i r="1">
      <x v="2"/>
    </i>
    <i>
      <x v="54"/>
    </i>
    <i r="1">
      <x v="2"/>
    </i>
    <i>
      <x v="55"/>
    </i>
    <i r="1">
      <x v="2"/>
    </i>
    <i>
      <x v="56"/>
    </i>
    <i r="1">
      <x v="2"/>
    </i>
    <i>
      <x v="57"/>
    </i>
    <i r="1">
      <x v="2"/>
    </i>
    <i>
      <x v="58"/>
    </i>
    <i r="1">
      <x v="2"/>
    </i>
    <i>
      <x v="59"/>
    </i>
    <i r="1">
      <x v="2"/>
    </i>
    <i>
      <x v="60"/>
    </i>
    <i r="1">
      <x v="2"/>
    </i>
    <i t="grand">
      <x/>
    </i>
  </rowItems>
  <colFields count="1">
    <field x="-2"/>
  </colFields>
  <colItems count="2">
    <i>
      <x/>
    </i>
    <i i="1">
      <x v="1"/>
    </i>
  </colItems>
  <dataFields count="2">
    <dataField name="AvgTemp Range " fld="10" subtotal="average" baseField="4" baseItem="1"/>
    <dataField name="Sum of Rainfall (mms)2" fld="7" baseField="0" baseItem="0"/>
  </dataFields>
  <chartFormats count="186">
    <chartFormat chart="11" format="66" series="1">
      <pivotArea type="data" outline="0" fieldPosition="0">
        <references count="1">
          <reference field="4294967294" count="1" selected="0">
            <x v="0"/>
          </reference>
        </references>
      </pivotArea>
    </chartFormat>
    <chartFormat chart="11" format="67">
      <pivotArea type="data" outline="0" fieldPosition="0">
        <references count="3">
          <reference field="4294967294" count="1" selected="0">
            <x v="0"/>
          </reference>
          <reference field="5" count="1" selected="0">
            <x v="183"/>
          </reference>
          <reference field="12" count="1" selected="0">
            <x v="7"/>
          </reference>
        </references>
      </pivotArea>
    </chartFormat>
    <chartFormat chart="11" format="68">
      <pivotArea type="data" outline="0" fieldPosition="0">
        <references count="3">
          <reference field="4294967294" count="1" selected="0">
            <x v="0"/>
          </reference>
          <reference field="5" count="1" selected="0">
            <x v="184"/>
          </reference>
          <reference field="12" count="1" selected="0">
            <x v="7"/>
          </reference>
        </references>
      </pivotArea>
    </chartFormat>
    <chartFormat chart="11" format="69">
      <pivotArea type="data" outline="0" fieldPosition="0">
        <references count="3">
          <reference field="4294967294" count="1" selected="0">
            <x v="0"/>
          </reference>
          <reference field="5" count="1" selected="0">
            <x v="185"/>
          </reference>
          <reference field="12" count="1" selected="0">
            <x v="7"/>
          </reference>
        </references>
      </pivotArea>
    </chartFormat>
    <chartFormat chart="11" format="70">
      <pivotArea type="data" outline="0" fieldPosition="0">
        <references count="3">
          <reference field="4294967294" count="1" selected="0">
            <x v="0"/>
          </reference>
          <reference field="5" count="1" selected="0">
            <x v="186"/>
          </reference>
          <reference field="12" count="1" selected="0">
            <x v="7"/>
          </reference>
        </references>
      </pivotArea>
    </chartFormat>
    <chartFormat chart="11" format="71">
      <pivotArea type="data" outline="0" fieldPosition="0">
        <references count="3">
          <reference field="4294967294" count="1" selected="0">
            <x v="0"/>
          </reference>
          <reference field="5" count="1" selected="0">
            <x v="187"/>
          </reference>
          <reference field="12" count="1" selected="0">
            <x v="7"/>
          </reference>
        </references>
      </pivotArea>
    </chartFormat>
    <chartFormat chart="11" format="72">
      <pivotArea type="data" outline="0" fieldPosition="0">
        <references count="3">
          <reference field="4294967294" count="1" selected="0">
            <x v="0"/>
          </reference>
          <reference field="5" count="1" selected="0">
            <x v="188"/>
          </reference>
          <reference field="12" count="1" selected="0">
            <x v="7"/>
          </reference>
        </references>
      </pivotArea>
    </chartFormat>
    <chartFormat chart="11" format="73">
      <pivotArea type="data" outline="0" fieldPosition="0">
        <references count="3">
          <reference field="4294967294" count="1" selected="0">
            <x v="0"/>
          </reference>
          <reference field="5" count="1" selected="0">
            <x v="189"/>
          </reference>
          <reference field="12" count="1" selected="0">
            <x v="7"/>
          </reference>
        </references>
      </pivotArea>
    </chartFormat>
    <chartFormat chart="11" format="74">
      <pivotArea type="data" outline="0" fieldPosition="0">
        <references count="3">
          <reference field="4294967294" count="1" selected="0">
            <x v="0"/>
          </reference>
          <reference field="5" count="1" selected="0">
            <x v="190"/>
          </reference>
          <reference field="12" count="1" selected="0">
            <x v="7"/>
          </reference>
        </references>
      </pivotArea>
    </chartFormat>
    <chartFormat chart="11" format="75">
      <pivotArea type="data" outline="0" fieldPosition="0">
        <references count="3">
          <reference field="4294967294" count="1" selected="0">
            <x v="0"/>
          </reference>
          <reference field="5" count="1" selected="0">
            <x v="191"/>
          </reference>
          <reference field="12" count="1" selected="0">
            <x v="7"/>
          </reference>
        </references>
      </pivotArea>
    </chartFormat>
    <chartFormat chart="11" format="76">
      <pivotArea type="data" outline="0" fieldPosition="0">
        <references count="3">
          <reference field="4294967294" count="1" selected="0">
            <x v="0"/>
          </reference>
          <reference field="5" count="1" selected="0">
            <x v="192"/>
          </reference>
          <reference field="12" count="1" selected="0">
            <x v="7"/>
          </reference>
        </references>
      </pivotArea>
    </chartFormat>
    <chartFormat chart="11" format="77">
      <pivotArea type="data" outline="0" fieldPosition="0">
        <references count="3">
          <reference field="4294967294" count="1" selected="0">
            <x v="0"/>
          </reference>
          <reference field="5" count="1" selected="0">
            <x v="193"/>
          </reference>
          <reference field="12" count="1" selected="0">
            <x v="7"/>
          </reference>
        </references>
      </pivotArea>
    </chartFormat>
    <chartFormat chart="11" format="78">
      <pivotArea type="data" outline="0" fieldPosition="0">
        <references count="3">
          <reference field="4294967294" count="1" selected="0">
            <x v="0"/>
          </reference>
          <reference field="5" count="1" selected="0">
            <x v="194"/>
          </reference>
          <reference field="12" count="1" selected="0">
            <x v="7"/>
          </reference>
        </references>
      </pivotArea>
    </chartFormat>
    <chartFormat chart="11" format="79">
      <pivotArea type="data" outline="0" fieldPosition="0">
        <references count="3">
          <reference field="4294967294" count="1" selected="0">
            <x v="0"/>
          </reference>
          <reference field="5" count="1" selected="0">
            <x v="195"/>
          </reference>
          <reference field="12" count="1" selected="0">
            <x v="7"/>
          </reference>
        </references>
      </pivotArea>
    </chartFormat>
    <chartFormat chart="11" format="80">
      <pivotArea type="data" outline="0" fieldPosition="0">
        <references count="3">
          <reference field="4294967294" count="1" selected="0">
            <x v="0"/>
          </reference>
          <reference field="5" count="1" selected="0">
            <x v="196"/>
          </reference>
          <reference field="12" count="1" selected="0">
            <x v="7"/>
          </reference>
        </references>
      </pivotArea>
    </chartFormat>
    <chartFormat chart="11" format="81">
      <pivotArea type="data" outline="0" fieldPosition="0">
        <references count="3">
          <reference field="4294967294" count="1" selected="0">
            <x v="0"/>
          </reference>
          <reference field="5" count="1" selected="0">
            <x v="197"/>
          </reference>
          <reference field="12" count="1" selected="0">
            <x v="7"/>
          </reference>
        </references>
      </pivotArea>
    </chartFormat>
    <chartFormat chart="11" format="82">
      <pivotArea type="data" outline="0" fieldPosition="0">
        <references count="3">
          <reference field="4294967294" count="1" selected="0">
            <x v="0"/>
          </reference>
          <reference field="5" count="1" selected="0">
            <x v="198"/>
          </reference>
          <reference field="12" count="1" selected="0">
            <x v="7"/>
          </reference>
        </references>
      </pivotArea>
    </chartFormat>
    <chartFormat chart="11" format="83">
      <pivotArea type="data" outline="0" fieldPosition="0">
        <references count="3">
          <reference field="4294967294" count="1" selected="0">
            <x v="0"/>
          </reference>
          <reference field="5" count="1" selected="0">
            <x v="199"/>
          </reference>
          <reference field="12" count="1" selected="0">
            <x v="7"/>
          </reference>
        </references>
      </pivotArea>
    </chartFormat>
    <chartFormat chart="11" format="84">
      <pivotArea type="data" outline="0" fieldPosition="0">
        <references count="3">
          <reference field="4294967294" count="1" selected="0">
            <x v="0"/>
          </reference>
          <reference field="5" count="1" selected="0">
            <x v="200"/>
          </reference>
          <reference field="12" count="1" selected="0">
            <x v="7"/>
          </reference>
        </references>
      </pivotArea>
    </chartFormat>
    <chartFormat chart="11" format="85">
      <pivotArea type="data" outline="0" fieldPosition="0">
        <references count="3">
          <reference field="4294967294" count="1" selected="0">
            <x v="0"/>
          </reference>
          <reference field="5" count="1" selected="0">
            <x v="201"/>
          </reference>
          <reference field="12" count="1" selected="0">
            <x v="7"/>
          </reference>
        </references>
      </pivotArea>
    </chartFormat>
    <chartFormat chart="11" format="86">
      <pivotArea type="data" outline="0" fieldPosition="0">
        <references count="3">
          <reference field="4294967294" count="1" selected="0">
            <x v="0"/>
          </reference>
          <reference field="5" count="1" selected="0">
            <x v="202"/>
          </reference>
          <reference field="12" count="1" selected="0">
            <x v="7"/>
          </reference>
        </references>
      </pivotArea>
    </chartFormat>
    <chartFormat chart="11" format="87">
      <pivotArea type="data" outline="0" fieldPosition="0">
        <references count="3">
          <reference field="4294967294" count="1" selected="0">
            <x v="0"/>
          </reference>
          <reference field="5" count="1" selected="0">
            <x v="203"/>
          </reference>
          <reference field="12" count="1" selected="0">
            <x v="7"/>
          </reference>
        </references>
      </pivotArea>
    </chartFormat>
    <chartFormat chart="11" format="88">
      <pivotArea type="data" outline="0" fieldPosition="0">
        <references count="3">
          <reference field="4294967294" count="1" selected="0">
            <x v="0"/>
          </reference>
          <reference field="5" count="1" selected="0">
            <x v="204"/>
          </reference>
          <reference field="12" count="1" selected="0">
            <x v="7"/>
          </reference>
        </references>
      </pivotArea>
    </chartFormat>
    <chartFormat chart="11" format="89">
      <pivotArea type="data" outline="0" fieldPosition="0">
        <references count="3">
          <reference field="4294967294" count="1" selected="0">
            <x v="0"/>
          </reference>
          <reference field="5" count="1" selected="0">
            <x v="205"/>
          </reference>
          <reference field="12" count="1" selected="0">
            <x v="7"/>
          </reference>
        </references>
      </pivotArea>
    </chartFormat>
    <chartFormat chart="11" format="90">
      <pivotArea type="data" outline="0" fieldPosition="0">
        <references count="3">
          <reference field="4294967294" count="1" selected="0">
            <x v="0"/>
          </reference>
          <reference field="5" count="1" selected="0">
            <x v="206"/>
          </reference>
          <reference field="12" count="1" selected="0">
            <x v="7"/>
          </reference>
        </references>
      </pivotArea>
    </chartFormat>
    <chartFormat chart="11" format="91">
      <pivotArea type="data" outline="0" fieldPosition="0">
        <references count="3">
          <reference field="4294967294" count="1" selected="0">
            <x v="0"/>
          </reference>
          <reference field="5" count="1" selected="0">
            <x v="207"/>
          </reference>
          <reference field="12" count="1" selected="0">
            <x v="7"/>
          </reference>
        </references>
      </pivotArea>
    </chartFormat>
    <chartFormat chart="11" format="92">
      <pivotArea type="data" outline="0" fieldPosition="0">
        <references count="3">
          <reference field="4294967294" count="1" selected="0">
            <x v="0"/>
          </reference>
          <reference field="5" count="1" selected="0">
            <x v="208"/>
          </reference>
          <reference field="12" count="1" selected="0">
            <x v="7"/>
          </reference>
        </references>
      </pivotArea>
    </chartFormat>
    <chartFormat chart="11" format="93">
      <pivotArea type="data" outline="0" fieldPosition="0">
        <references count="3">
          <reference field="4294967294" count="1" selected="0">
            <x v="0"/>
          </reference>
          <reference field="5" count="1" selected="0">
            <x v="209"/>
          </reference>
          <reference field="12" count="1" selected="0">
            <x v="7"/>
          </reference>
        </references>
      </pivotArea>
    </chartFormat>
    <chartFormat chart="11" format="94">
      <pivotArea type="data" outline="0" fieldPosition="0">
        <references count="3">
          <reference field="4294967294" count="1" selected="0">
            <x v="0"/>
          </reference>
          <reference field="5" count="1" selected="0">
            <x v="210"/>
          </reference>
          <reference field="12" count="1" selected="0">
            <x v="7"/>
          </reference>
        </references>
      </pivotArea>
    </chartFormat>
    <chartFormat chart="11" format="95">
      <pivotArea type="data" outline="0" fieldPosition="0">
        <references count="3">
          <reference field="4294967294" count="1" selected="0">
            <x v="0"/>
          </reference>
          <reference field="5" count="1" selected="0">
            <x v="211"/>
          </reference>
          <reference field="12" count="1" selected="0">
            <x v="7"/>
          </reference>
        </references>
      </pivotArea>
    </chartFormat>
    <chartFormat chart="11" format="96">
      <pivotArea type="data" outline="0" fieldPosition="0">
        <references count="3">
          <reference field="4294967294" count="1" selected="0">
            <x v="0"/>
          </reference>
          <reference field="5" count="1" selected="0">
            <x v="212"/>
          </reference>
          <reference field="12" count="1" selected="0">
            <x v="7"/>
          </reference>
        </references>
      </pivotArea>
    </chartFormat>
    <chartFormat chart="11" format="97">
      <pivotArea type="data" outline="0" fieldPosition="0">
        <references count="3">
          <reference field="4294967294" count="1" selected="0">
            <x v="0"/>
          </reference>
          <reference field="5" count="1" selected="0">
            <x v="213"/>
          </reference>
          <reference field="12" count="1" selected="0">
            <x v="7"/>
          </reference>
        </references>
      </pivotArea>
    </chartFormat>
    <chartFormat chart="11" format="98" series="1">
      <pivotArea type="data" outline="0" fieldPosition="0">
        <references count="1">
          <reference field="4294967294" count="1" selected="0">
            <x v="1"/>
          </reference>
        </references>
      </pivotArea>
    </chartFormat>
    <chartFormat chart="11" format="99">
      <pivotArea type="data" outline="0" fieldPosition="0">
        <references count="3">
          <reference field="4294967294" count="1" selected="0">
            <x v="1"/>
          </reference>
          <reference field="5" count="1" selected="0">
            <x v="183"/>
          </reference>
          <reference field="12" count="1" selected="0">
            <x v="7"/>
          </reference>
        </references>
      </pivotArea>
    </chartFormat>
    <chartFormat chart="11" format="100">
      <pivotArea type="data" outline="0" fieldPosition="0">
        <references count="3">
          <reference field="4294967294" count="1" selected="0">
            <x v="1"/>
          </reference>
          <reference field="5" count="1" selected="0">
            <x v="184"/>
          </reference>
          <reference field="12" count="1" selected="0">
            <x v="7"/>
          </reference>
        </references>
      </pivotArea>
    </chartFormat>
    <chartFormat chart="11" format="101">
      <pivotArea type="data" outline="0" fieldPosition="0">
        <references count="3">
          <reference field="4294967294" count="1" selected="0">
            <x v="1"/>
          </reference>
          <reference field="5" count="1" selected="0">
            <x v="185"/>
          </reference>
          <reference field="12" count="1" selected="0">
            <x v="7"/>
          </reference>
        </references>
      </pivotArea>
    </chartFormat>
    <chartFormat chart="11" format="102">
      <pivotArea type="data" outline="0" fieldPosition="0">
        <references count="3">
          <reference field="4294967294" count="1" selected="0">
            <x v="1"/>
          </reference>
          <reference field="5" count="1" selected="0">
            <x v="186"/>
          </reference>
          <reference field="12" count="1" selected="0">
            <x v="7"/>
          </reference>
        </references>
      </pivotArea>
    </chartFormat>
    <chartFormat chart="11" format="103">
      <pivotArea type="data" outline="0" fieldPosition="0">
        <references count="3">
          <reference field="4294967294" count="1" selected="0">
            <x v="1"/>
          </reference>
          <reference field="5" count="1" selected="0">
            <x v="187"/>
          </reference>
          <reference field="12" count="1" selected="0">
            <x v="7"/>
          </reference>
        </references>
      </pivotArea>
    </chartFormat>
    <chartFormat chart="11" format="104">
      <pivotArea type="data" outline="0" fieldPosition="0">
        <references count="3">
          <reference field="4294967294" count="1" selected="0">
            <x v="1"/>
          </reference>
          <reference field="5" count="1" selected="0">
            <x v="188"/>
          </reference>
          <reference field="12" count="1" selected="0">
            <x v="7"/>
          </reference>
        </references>
      </pivotArea>
    </chartFormat>
    <chartFormat chart="11" format="105">
      <pivotArea type="data" outline="0" fieldPosition="0">
        <references count="3">
          <reference field="4294967294" count="1" selected="0">
            <x v="1"/>
          </reference>
          <reference field="5" count="1" selected="0">
            <x v="189"/>
          </reference>
          <reference field="12" count="1" selected="0">
            <x v="7"/>
          </reference>
        </references>
      </pivotArea>
    </chartFormat>
    <chartFormat chart="11" format="106">
      <pivotArea type="data" outline="0" fieldPosition="0">
        <references count="3">
          <reference field="4294967294" count="1" selected="0">
            <x v="1"/>
          </reference>
          <reference field="5" count="1" selected="0">
            <x v="190"/>
          </reference>
          <reference field="12" count="1" selected="0">
            <x v="7"/>
          </reference>
        </references>
      </pivotArea>
    </chartFormat>
    <chartFormat chart="11" format="107">
      <pivotArea type="data" outline="0" fieldPosition="0">
        <references count="3">
          <reference field="4294967294" count="1" selected="0">
            <x v="1"/>
          </reference>
          <reference field="5" count="1" selected="0">
            <x v="191"/>
          </reference>
          <reference field="12" count="1" selected="0">
            <x v="7"/>
          </reference>
        </references>
      </pivotArea>
    </chartFormat>
    <chartFormat chart="11" format="108">
      <pivotArea type="data" outline="0" fieldPosition="0">
        <references count="3">
          <reference field="4294967294" count="1" selected="0">
            <x v="1"/>
          </reference>
          <reference field="5" count="1" selected="0">
            <x v="192"/>
          </reference>
          <reference field="12" count="1" selected="0">
            <x v="7"/>
          </reference>
        </references>
      </pivotArea>
    </chartFormat>
    <chartFormat chart="11" format="109">
      <pivotArea type="data" outline="0" fieldPosition="0">
        <references count="3">
          <reference field="4294967294" count="1" selected="0">
            <x v="1"/>
          </reference>
          <reference field="5" count="1" selected="0">
            <x v="193"/>
          </reference>
          <reference field="12" count="1" selected="0">
            <x v="7"/>
          </reference>
        </references>
      </pivotArea>
    </chartFormat>
    <chartFormat chart="11" format="110">
      <pivotArea type="data" outline="0" fieldPosition="0">
        <references count="3">
          <reference field="4294967294" count="1" selected="0">
            <x v="1"/>
          </reference>
          <reference field="5" count="1" selected="0">
            <x v="194"/>
          </reference>
          <reference field="12" count="1" selected="0">
            <x v="7"/>
          </reference>
        </references>
      </pivotArea>
    </chartFormat>
    <chartFormat chart="11" format="111">
      <pivotArea type="data" outline="0" fieldPosition="0">
        <references count="3">
          <reference field="4294967294" count="1" selected="0">
            <x v="1"/>
          </reference>
          <reference field="5" count="1" selected="0">
            <x v="195"/>
          </reference>
          <reference field="12" count="1" selected="0">
            <x v="7"/>
          </reference>
        </references>
      </pivotArea>
    </chartFormat>
    <chartFormat chart="11" format="112">
      <pivotArea type="data" outline="0" fieldPosition="0">
        <references count="3">
          <reference field="4294967294" count="1" selected="0">
            <x v="1"/>
          </reference>
          <reference field="5" count="1" selected="0">
            <x v="196"/>
          </reference>
          <reference field="12" count="1" selected="0">
            <x v="7"/>
          </reference>
        </references>
      </pivotArea>
    </chartFormat>
    <chartFormat chart="11" format="113">
      <pivotArea type="data" outline="0" fieldPosition="0">
        <references count="3">
          <reference field="4294967294" count="1" selected="0">
            <x v="1"/>
          </reference>
          <reference field="5" count="1" selected="0">
            <x v="197"/>
          </reference>
          <reference field="12" count="1" selected="0">
            <x v="7"/>
          </reference>
        </references>
      </pivotArea>
    </chartFormat>
    <chartFormat chart="11" format="114">
      <pivotArea type="data" outline="0" fieldPosition="0">
        <references count="3">
          <reference field="4294967294" count="1" selected="0">
            <x v="1"/>
          </reference>
          <reference field="5" count="1" selected="0">
            <x v="198"/>
          </reference>
          <reference field="12" count="1" selected="0">
            <x v="7"/>
          </reference>
        </references>
      </pivotArea>
    </chartFormat>
    <chartFormat chart="11" format="115">
      <pivotArea type="data" outline="0" fieldPosition="0">
        <references count="3">
          <reference field="4294967294" count="1" selected="0">
            <x v="1"/>
          </reference>
          <reference field="5" count="1" selected="0">
            <x v="199"/>
          </reference>
          <reference field="12" count="1" selected="0">
            <x v="7"/>
          </reference>
        </references>
      </pivotArea>
    </chartFormat>
    <chartFormat chart="11" format="116">
      <pivotArea type="data" outline="0" fieldPosition="0">
        <references count="3">
          <reference field="4294967294" count="1" selected="0">
            <x v="1"/>
          </reference>
          <reference field="5" count="1" selected="0">
            <x v="200"/>
          </reference>
          <reference field="12" count="1" selected="0">
            <x v="7"/>
          </reference>
        </references>
      </pivotArea>
    </chartFormat>
    <chartFormat chart="11" format="117">
      <pivotArea type="data" outline="0" fieldPosition="0">
        <references count="3">
          <reference field="4294967294" count="1" selected="0">
            <x v="1"/>
          </reference>
          <reference field="5" count="1" selected="0">
            <x v="201"/>
          </reference>
          <reference field="12" count="1" selected="0">
            <x v="7"/>
          </reference>
        </references>
      </pivotArea>
    </chartFormat>
    <chartFormat chart="11" format="118">
      <pivotArea type="data" outline="0" fieldPosition="0">
        <references count="3">
          <reference field="4294967294" count="1" selected="0">
            <x v="1"/>
          </reference>
          <reference field="5" count="1" selected="0">
            <x v="202"/>
          </reference>
          <reference field="12" count="1" selected="0">
            <x v="7"/>
          </reference>
        </references>
      </pivotArea>
    </chartFormat>
    <chartFormat chart="11" format="119">
      <pivotArea type="data" outline="0" fieldPosition="0">
        <references count="3">
          <reference field="4294967294" count="1" selected="0">
            <x v="1"/>
          </reference>
          <reference field="5" count="1" selected="0">
            <x v="203"/>
          </reference>
          <reference field="12" count="1" selected="0">
            <x v="7"/>
          </reference>
        </references>
      </pivotArea>
    </chartFormat>
    <chartFormat chart="11" format="120">
      <pivotArea type="data" outline="0" fieldPosition="0">
        <references count="3">
          <reference field="4294967294" count="1" selected="0">
            <x v="1"/>
          </reference>
          <reference field="5" count="1" selected="0">
            <x v="204"/>
          </reference>
          <reference field="12" count="1" selected="0">
            <x v="7"/>
          </reference>
        </references>
      </pivotArea>
    </chartFormat>
    <chartFormat chart="11" format="121">
      <pivotArea type="data" outline="0" fieldPosition="0">
        <references count="3">
          <reference field="4294967294" count="1" selected="0">
            <x v="1"/>
          </reference>
          <reference field="5" count="1" selected="0">
            <x v="205"/>
          </reference>
          <reference field="12" count="1" selected="0">
            <x v="7"/>
          </reference>
        </references>
      </pivotArea>
    </chartFormat>
    <chartFormat chart="11" format="122">
      <pivotArea type="data" outline="0" fieldPosition="0">
        <references count="3">
          <reference field="4294967294" count="1" selected="0">
            <x v="1"/>
          </reference>
          <reference field="5" count="1" selected="0">
            <x v="206"/>
          </reference>
          <reference field="12" count="1" selected="0">
            <x v="7"/>
          </reference>
        </references>
      </pivotArea>
    </chartFormat>
    <chartFormat chart="11" format="123">
      <pivotArea type="data" outline="0" fieldPosition="0">
        <references count="3">
          <reference field="4294967294" count="1" selected="0">
            <x v="1"/>
          </reference>
          <reference field="5" count="1" selected="0">
            <x v="207"/>
          </reference>
          <reference field="12" count="1" selected="0">
            <x v="7"/>
          </reference>
        </references>
      </pivotArea>
    </chartFormat>
    <chartFormat chart="11" format="124">
      <pivotArea type="data" outline="0" fieldPosition="0">
        <references count="3">
          <reference field="4294967294" count="1" selected="0">
            <x v="1"/>
          </reference>
          <reference field="5" count="1" selected="0">
            <x v="208"/>
          </reference>
          <reference field="12" count="1" selected="0">
            <x v="7"/>
          </reference>
        </references>
      </pivotArea>
    </chartFormat>
    <chartFormat chart="11" format="125">
      <pivotArea type="data" outline="0" fieldPosition="0">
        <references count="3">
          <reference field="4294967294" count="1" selected="0">
            <x v="1"/>
          </reference>
          <reference field="5" count="1" selected="0">
            <x v="209"/>
          </reference>
          <reference field="12" count="1" selected="0">
            <x v="7"/>
          </reference>
        </references>
      </pivotArea>
    </chartFormat>
    <chartFormat chart="11" format="126">
      <pivotArea type="data" outline="0" fieldPosition="0">
        <references count="3">
          <reference field="4294967294" count="1" selected="0">
            <x v="1"/>
          </reference>
          <reference field="5" count="1" selected="0">
            <x v="210"/>
          </reference>
          <reference field="12" count="1" selected="0">
            <x v="7"/>
          </reference>
        </references>
      </pivotArea>
    </chartFormat>
    <chartFormat chart="11" format="127">
      <pivotArea type="data" outline="0" fieldPosition="0">
        <references count="3">
          <reference field="4294967294" count="1" selected="0">
            <x v="1"/>
          </reference>
          <reference field="5" count="1" selected="0">
            <x v="211"/>
          </reference>
          <reference field="12" count="1" selected="0">
            <x v="7"/>
          </reference>
        </references>
      </pivotArea>
    </chartFormat>
    <chartFormat chart="11" format="128">
      <pivotArea type="data" outline="0" fieldPosition="0">
        <references count="3">
          <reference field="4294967294" count="1" selected="0">
            <x v="1"/>
          </reference>
          <reference field="5" count="1" selected="0">
            <x v="212"/>
          </reference>
          <reference field="12" count="1" selected="0">
            <x v="7"/>
          </reference>
        </references>
      </pivotArea>
    </chartFormat>
    <chartFormat chart="11" format="129">
      <pivotArea type="data" outline="0" fieldPosition="0">
        <references count="3">
          <reference field="4294967294" count="1" selected="0">
            <x v="1"/>
          </reference>
          <reference field="5" count="1" selected="0">
            <x v="213"/>
          </reference>
          <reference field="12" count="1" selected="0">
            <x v="7"/>
          </reference>
        </references>
      </pivotArea>
    </chartFormat>
    <chartFormat chart="11" format="130">
      <pivotArea type="data" outline="0" fieldPosition="0">
        <references count="3">
          <reference field="4294967294" count="1" selected="0">
            <x v="0"/>
          </reference>
          <reference field="5" count="1" selected="0">
            <x v="153"/>
          </reference>
          <reference field="12" count="1" selected="0">
            <x v="6"/>
          </reference>
        </references>
      </pivotArea>
    </chartFormat>
    <chartFormat chart="11" format="131">
      <pivotArea type="data" outline="0" fieldPosition="0">
        <references count="3">
          <reference field="4294967294" count="1" selected="0">
            <x v="0"/>
          </reference>
          <reference field="5" count="1" selected="0">
            <x v="154"/>
          </reference>
          <reference field="12" count="1" selected="0">
            <x v="6"/>
          </reference>
        </references>
      </pivotArea>
    </chartFormat>
    <chartFormat chart="11" format="132">
      <pivotArea type="data" outline="0" fieldPosition="0">
        <references count="3">
          <reference field="4294967294" count="1" selected="0">
            <x v="0"/>
          </reference>
          <reference field="5" count="1" selected="0">
            <x v="155"/>
          </reference>
          <reference field="12" count="1" selected="0">
            <x v="6"/>
          </reference>
        </references>
      </pivotArea>
    </chartFormat>
    <chartFormat chart="11" format="133">
      <pivotArea type="data" outline="0" fieldPosition="0">
        <references count="3">
          <reference field="4294967294" count="1" selected="0">
            <x v="0"/>
          </reference>
          <reference field="5" count="1" selected="0">
            <x v="156"/>
          </reference>
          <reference field="12" count="1" selected="0">
            <x v="6"/>
          </reference>
        </references>
      </pivotArea>
    </chartFormat>
    <chartFormat chart="11" format="134">
      <pivotArea type="data" outline="0" fieldPosition="0">
        <references count="3">
          <reference field="4294967294" count="1" selected="0">
            <x v="0"/>
          </reference>
          <reference field="5" count="1" selected="0">
            <x v="157"/>
          </reference>
          <reference field="12" count="1" selected="0">
            <x v="6"/>
          </reference>
        </references>
      </pivotArea>
    </chartFormat>
    <chartFormat chart="11" format="135">
      <pivotArea type="data" outline="0" fieldPosition="0">
        <references count="3">
          <reference field="4294967294" count="1" selected="0">
            <x v="0"/>
          </reference>
          <reference field="5" count="1" selected="0">
            <x v="158"/>
          </reference>
          <reference field="12" count="1" selected="0">
            <x v="6"/>
          </reference>
        </references>
      </pivotArea>
    </chartFormat>
    <chartFormat chart="11" format="136">
      <pivotArea type="data" outline="0" fieldPosition="0">
        <references count="3">
          <reference field="4294967294" count="1" selected="0">
            <x v="0"/>
          </reference>
          <reference field="5" count="1" selected="0">
            <x v="159"/>
          </reference>
          <reference field="12" count="1" selected="0">
            <x v="6"/>
          </reference>
        </references>
      </pivotArea>
    </chartFormat>
    <chartFormat chart="11" format="137">
      <pivotArea type="data" outline="0" fieldPosition="0">
        <references count="3">
          <reference field="4294967294" count="1" selected="0">
            <x v="0"/>
          </reference>
          <reference field="5" count="1" selected="0">
            <x v="160"/>
          </reference>
          <reference field="12" count="1" selected="0">
            <x v="6"/>
          </reference>
        </references>
      </pivotArea>
    </chartFormat>
    <chartFormat chart="11" format="138">
      <pivotArea type="data" outline="0" fieldPosition="0">
        <references count="3">
          <reference field="4294967294" count="1" selected="0">
            <x v="0"/>
          </reference>
          <reference field="5" count="1" selected="0">
            <x v="161"/>
          </reference>
          <reference field="12" count="1" selected="0">
            <x v="6"/>
          </reference>
        </references>
      </pivotArea>
    </chartFormat>
    <chartFormat chart="11" format="139">
      <pivotArea type="data" outline="0" fieldPosition="0">
        <references count="3">
          <reference field="4294967294" count="1" selected="0">
            <x v="0"/>
          </reference>
          <reference field="5" count="1" selected="0">
            <x v="162"/>
          </reference>
          <reference field="12" count="1" selected="0">
            <x v="6"/>
          </reference>
        </references>
      </pivotArea>
    </chartFormat>
    <chartFormat chart="11" format="140">
      <pivotArea type="data" outline="0" fieldPosition="0">
        <references count="3">
          <reference field="4294967294" count="1" selected="0">
            <x v="0"/>
          </reference>
          <reference field="5" count="1" selected="0">
            <x v="163"/>
          </reference>
          <reference field="12" count="1" selected="0">
            <x v="6"/>
          </reference>
        </references>
      </pivotArea>
    </chartFormat>
    <chartFormat chart="11" format="141">
      <pivotArea type="data" outline="0" fieldPosition="0">
        <references count="3">
          <reference field="4294967294" count="1" selected="0">
            <x v="0"/>
          </reference>
          <reference field="5" count="1" selected="0">
            <x v="164"/>
          </reference>
          <reference field="12" count="1" selected="0">
            <x v="6"/>
          </reference>
        </references>
      </pivotArea>
    </chartFormat>
    <chartFormat chart="11" format="142">
      <pivotArea type="data" outline="0" fieldPosition="0">
        <references count="3">
          <reference field="4294967294" count="1" selected="0">
            <x v="0"/>
          </reference>
          <reference field="5" count="1" selected="0">
            <x v="165"/>
          </reference>
          <reference field="12" count="1" selected="0">
            <x v="6"/>
          </reference>
        </references>
      </pivotArea>
    </chartFormat>
    <chartFormat chart="11" format="143">
      <pivotArea type="data" outline="0" fieldPosition="0">
        <references count="3">
          <reference field="4294967294" count="1" selected="0">
            <x v="0"/>
          </reference>
          <reference field="5" count="1" selected="0">
            <x v="166"/>
          </reference>
          <reference field="12" count="1" selected="0">
            <x v="6"/>
          </reference>
        </references>
      </pivotArea>
    </chartFormat>
    <chartFormat chart="11" format="144">
      <pivotArea type="data" outline="0" fieldPosition="0">
        <references count="3">
          <reference field="4294967294" count="1" selected="0">
            <x v="0"/>
          </reference>
          <reference field="5" count="1" selected="0">
            <x v="167"/>
          </reference>
          <reference field="12" count="1" selected="0">
            <x v="6"/>
          </reference>
        </references>
      </pivotArea>
    </chartFormat>
    <chartFormat chart="11" format="145">
      <pivotArea type="data" outline="0" fieldPosition="0">
        <references count="3">
          <reference field="4294967294" count="1" selected="0">
            <x v="0"/>
          </reference>
          <reference field="5" count="1" selected="0">
            <x v="168"/>
          </reference>
          <reference field="12" count="1" selected="0">
            <x v="6"/>
          </reference>
        </references>
      </pivotArea>
    </chartFormat>
    <chartFormat chart="11" format="146">
      <pivotArea type="data" outline="0" fieldPosition="0">
        <references count="3">
          <reference field="4294967294" count="1" selected="0">
            <x v="0"/>
          </reference>
          <reference field="5" count="1" selected="0">
            <x v="169"/>
          </reference>
          <reference field="12" count="1" selected="0">
            <x v="6"/>
          </reference>
        </references>
      </pivotArea>
    </chartFormat>
    <chartFormat chart="11" format="147">
      <pivotArea type="data" outline="0" fieldPosition="0">
        <references count="3">
          <reference field="4294967294" count="1" selected="0">
            <x v="0"/>
          </reference>
          <reference field="5" count="1" selected="0">
            <x v="170"/>
          </reference>
          <reference field="12" count="1" selected="0">
            <x v="6"/>
          </reference>
        </references>
      </pivotArea>
    </chartFormat>
    <chartFormat chart="11" format="148">
      <pivotArea type="data" outline="0" fieldPosition="0">
        <references count="3">
          <reference field="4294967294" count="1" selected="0">
            <x v="0"/>
          </reference>
          <reference field="5" count="1" selected="0">
            <x v="171"/>
          </reference>
          <reference field="12" count="1" selected="0">
            <x v="6"/>
          </reference>
        </references>
      </pivotArea>
    </chartFormat>
    <chartFormat chart="11" format="149">
      <pivotArea type="data" outline="0" fieldPosition="0">
        <references count="3">
          <reference field="4294967294" count="1" selected="0">
            <x v="0"/>
          </reference>
          <reference field="5" count="1" selected="0">
            <x v="172"/>
          </reference>
          <reference field="12" count="1" selected="0">
            <x v="6"/>
          </reference>
        </references>
      </pivotArea>
    </chartFormat>
    <chartFormat chart="11" format="150">
      <pivotArea type="data" outline="0" fieldPosition="0">
        <references count="3">
          <reference field="4294967294" count="1" selected="0">
            <x v="0"/>
          </reference>
          <reference field="5" count="1" selected="0">
            <x v="173"/>
          </reference>
          <reference field="12" count="1" selected="0">
            <x v="6"/>
          </reference>
        </references>
      </pivotArea>
    </chartFormat>
    <chartFormat chart="11" format="151">
      <pivotArea type="data" outline="0" fieldPosition="0">
        <references count="3">
          <reference field="4294967294" count="1" selected="0">
            <x v="0"/>
          </reference>
          <reference field="5" count="1" selected="0">
            <x v="174"/>
          </reference>
          <reference field="12" count="1" selected="0">
            <x v="6"/>
          </reference>
        </references>
      </pivotArea>
    </chartFormat>
    <chartFormat chart="11" format="152">
      <pivotArea type="data" outline="0" fieldPosition="0">
        <references count="3">
          <reference field="4294967294" count="1" selected="0">
            <x v="0"/>
          </reference>
          <reference field="5" count="1" selected="0">
            <x v="175"/>
          </reference>
          <reference field="12" count="1" selected="0">
            <x v="6"/>
          </reference>
        </references>
      </pivotArea>
    </chartFormat>
    <chartFormat chart="11" format="153">
      <pivotArea type="data" outline="0" fieldPosition="0">
        <references count="3">
          <reference field="4294967294" count="1" selected="0">
            <x v="0"/>
          </reference>
          <reference field="5" count="1" selected="0">
            <x v="176"/>
          </reference>
          <reference field="12" count="1" selected="0">
            <x v="6"/>
          </reference>
        </references>
      </pivotArea>
    </chartFormat>
    <chartFormat chart="11" format="154">
      <pivotArea type="data" outline="0" fieldPosition="0">
        <references count="3">
          <reference field="4294967294" count="1" selected="0">
            <x v="0"/>
          </reference>
          <reference field="5" count="1" selected="0">
            <x v="177"/>
          </reference>
          <reference field="12" count="1" selected="0">
            <x v="6"/>
          </reference>
        </references>
      </pivotArea>
    </chartFormat>
    <chartFormat chart="11" format="155">
      <pivotArea type="data" outline="0" fieldPosition="0">
        <references count="3">
          <reference field="4294967294" count="1" selected="0">
            <x v="0"/>
          </reference>
          <reference field="5" count="1" selected="0">
            <x v="178"/>
          </reference>
          <reference field="12" count="1" selected="0">
            <x v="6"/>
          </reference>
        </references>
      </pivotArea>
    </chartFormat>
    <chartFormat chart="11" format="156">
      <pivotArea type="data" outline="0" fieldPosition="0">
        <references count="3">
          <reference field="4294967294" count="1" selected="0">
            <x v="0"/>
          </reference>
          <reference field="5" count="1" selected="0">
            <x v="179"/>
          </reference>
          <reference field="12" count="1" selected="0">
            <x v="6"/>
          </reference>
        </references>
      </pivotArea>
    </chartFormat>
    <chartFormat chart="11" format="157">
      <pivotArea type="data" outline="0" fieldPosition="0">
        <references count="3">
          <reference field="4294967294" count="1" selected="0">
            <x v="0"/>
          </reference>
          <reference field="5" count="1" selected="0">
            <x v="180"/>
          </reference>
          <reference field="12" count="1" selected="0">
            <x v="6"/>
          </reference>
        </references>
      </pivotArea>
    </chartFormat>
    <chartFormat chart="11" format="158">
      <pivotArea type="data" outline="0" fieldPosition="0">
        <references count="3">
          <reference field="4294967294" count="1" selected="0">
            <x v="0"/>
          </reference>
          <reference field="5" count="1" selected="0">
            <x v="181"/>
          </reference>
          <reference field="12" count="1" selected="0">
            <x v="6"/>
          </reference>
        </references>
      </pivotArea>
    </chartFormat>
    <chartFormat chart="11" format="159">
      <pivotArea type="data" outline="0" fieldPosition="0">
        <references count="3">
          <reference field="4294967294" count="1" selected="0">
            <x v="0"/>
          </reference>
          <reference field="5" count="1" selected="0">
            <x v="182"/>
          </reference>
          <reference field="12" count="1" selected="0">
            <x v="6"/>
          </reference>
        </references>
      </pivotArea>
    </chartFormat>
    <chartFormat chart="11" format="160">
      <pivotArea type="data" outline="0" fieldPosition="0">
        <references count="3">
          <reference field="4294967294" count="1" selected="0">
            <x v="1"/>
          </reference>
          <reference field="5" count="1" selected="0">
            <x v="153"/>
          </reference>
          <reference field="12" count="1" selected="0">
            <x v="6"/>
          </reference>
        </references>
      </pivotArea>
    </chartFormat>
    <chartFormat chart="11" format="161">
      <pivotArea type="data" outline="0" fieldPosition="0">
        <references count="3">
          <reference field="4294967294" count="1" selected="0">
            <x v="1"/>
          </reference>
          <reference field="5" count="1" selected="0">
            <x v="154"/>
          </reference>
          <reference field="12" count="1" selected="0">
            <x v="6"/>
          </reference>
        </references>
      </pivotArea>
    </chartFormat>
    <chartFormat chart="11" format="162">
      <pivotArea type="data" outline="0" fieldPosition="0">
        <references count="3">
          <reference field="4294967294" count="1" selected="0">
            <x v="1"/>
          </reference>
          <reference field="5" count="1" selected="0">
            <x v="155"/>
          </reference>
          <reference field="12" count="1" selected="0">
            <x v="6"/>
          </reference>
        </references>
      </pivotArea>
    </chartFormat>
    <chartFormat chart="11" format="163">
      <pivotArea type="data" outline="0" fieldPosition="0">
        <references count="3">
          <reference field="4294967294" count="1" selected="0">
            <x v="1"/>
          </reference>
          <reference field="5" count="1" selected="0">
            <x v="156"/>
          </reference>
          <reference field="12" count="1" selected="0">
            <x v="6"/>
          </reference>
        </references>
      </pivotArea>
    </chartFormat>
    <chartFormat chart="11" format="164">
      <pivotArea type="data" outline="0" fieldPosition="0">
        <references count="3">
          <reference field="4294967294" count="1" selected="0">
            <x v="1"/>
          </reference>
          <reference field="5" count="1" selected="0">
            <x v="157"/>
          </reference>
          <reference field="12" count="1" selected="0">
            <x v="6"/>
          </reference>
        </references>
      </pivotArea>
    </chartFormat>
    <chartFormat chart="11" format="165">
      <pivotArea type="data" outline="0" fieldPosition="0">
        <references count="3">
          <reference field="4294967294" count="1" selected="0">
            <x v="1"/>
          </reference>
          <reference field="5" count="1" selected="0">
            <x v="158"/>
          </reference>
          <reference field="12" count="1" selected="0">
            <x v="6"/>
          </reference>
        </references>
      </pivotArea>
    </chartFormat>
    <chartFormat chart="11" format="166">
      <pivotArea type="data" outline="0" fieldPosition="0">
        <references count="3">
          <reference field="4294967294" count="1" selected="0">
            <x v="1"/>
          </reference>
          <reference field="5" count="1" selected="0">
            <x v="159"/>
          </reference>
          <reference field="12" count="1" selected="0">
            <x v="6"/>
          </reference>
        </references>
      </pivotArea>
    </chartFormat>
    <chartFormat chart="11" format="167">
      <pivotArea type="data" outline="0" fieldPosition="0">
        <references count="3">
          <reference field="4294967294" count="1" selected="0">
            <x v="1"/>
          </reference>
          <reference field="5" count="1" selected="0">
            <x v="160"/>
          </reference>
          <reference field="12" count="1" selected="0">
            <x v="6"/>
          </reference>
        </references>
      </pivotArea>
    </chartFormat>
    <chartFormat chart="11" format="168">
      <pivotArea type="data" outline="0" fieldPosition="0">
        <references count="3">
          <reference field="4294967294" count="1" selected="0">
            <x v="1"/>
          </reference>
          <reference field="5" count="1" selected="0">
            <x v="161"/>
          </reference>
          <reference field="12" count="1" selected="0">
            <x v="6"/>
          </reference>
        </references>
      </pivotArea>
    </chartFormat>
    <chartFormat chart="11" format="169">
      <pivotArea type="data" outline="0" fieldPosition="0">
        <references count="3">
          <reference field="4294967294" count="1" selected="0">
            <x v="1"/>
          </reference>
          <reference field="5" count="1" selected="0">
            <x v="162"/>
          </reference>
          <reference field="12" count="1" selected="0">
            <x v="6"/>
          </reference>
        </references>
      </pivotArea>
    </chartFormat>
    <chartFormat chart="11" format="170">
      <pivotArea type="data" outline="0" fieldPosition="0">
        <references count="3">
          <reference field="4294967294" count="1" selected="0">
            <x v="1"/>
          </reference>
          <reference field="5" count="1" selected="0">
            <x v="163"/>
          </reference>
          <reference field="12" count="1" selected="0">
            <x v="6"/>
          </reference>
        </references>
      </pivotArea>
    </chartFormat>
    <chartFormat chart="11" format="171">
      <pivotArea type="data" outline="0" fieldPosition="0">
        <references count="3">
          <reference field="4294967294" count="1" selected="0">
            <x v="1"/>
          </reference>
          <reference field="5" count="1" selected="0">
            <x v="164"/>
          </reference>
          <reference field="12" count="1" selected="0">
            <x v="6"/>
          </reference>
        </references>
      </pivotArea>
    </chartFormat>
    <chartFormat chart="11" format="172">
      <pivotArea type="data" outline="0" fieldPosition="0">
        <references count="3">
          <reference field="4294967294" count="1" selected="0">
            <x v="1"/>
          </reference>
          <reference field="5" count="1" selected="0">
            <x v="165"/>
          </reference>
          <reference field="12" count="1" selected="0">
            <x v="6"/>
          </reference>
        </references>
      </pivotArea>
    </chartFormat>
    <chartFormat chart="11" format="173">
      <pivotArea type="data" outline="0" fieldPosition="0">
        <references count="3">
          <reference field="4294967294" count="1" selected="0">
            <x v="1"/>
          </reference>
          <reference field="5" count="1" selected="0">
            <x v="166"/>
          </reference>
          <reference field="12" count="1" selected="0">
            <x v="6"/>
          </reference>
        </references>
      </pivotArea>
    </chartFormat>
    <chartFormat chart="11" format="174">
      <pivotArea type="data" outline="0" fieldPosition="0">
        <references count="3">
          <reference field="4294967294" count="1" selected="0">
            <x v="1"/>
          </reference>
          <reference field="5" count="1" selected="0">
            <x v="167"/>
          </reference>
          <reference field="12" count="1" selected="0">
            <x v="6"/>
          </reference>
        </references>
      </pivotArea>
    </chartFormat>
    <chartFormat chart="11" format="175">
      <pivotArea type="data" outline="0" fieldPosition="0">
        <references count="3">
          <reference field="4294967294" count="1" selected="0">
            <x v="1"/>
          </reference>
          <reference field="5" count="1" selected="0">
            <x v="168"/>
          </reference>
          <reference field="12" count="1" selected="0">
            <x v="6"/>
          </reference>
        </references>
      </pivotArea>
    </chartFormat>
    <chartFormat chart="11" format="176">
      <pivotArea type="data" outline="0" fieldPosition="0">
        <references count="3">
          <reference field="4294967294" count="1" selected="0">
            <x v="1"/>
          </reference>
          <reference field="5" count="1" selected="0">
            <x v="169"/>
          </reference>
          <reference field="12" count="1" selected="0">
            <x v="6"/>
          </reference>
        </references>
      </pivotArea>
    </chartFormat>
    <chartFormat chart="11" format="177">
      <pivotArea type="data" outline="0" fieldPosition="0">
        <references count="3">
          <reference field="4294967294" count="1" selected="0">
            <x v="1"/>
          </reference>
          <reference field="5" count="1" selected="0">
            <x v="170"/>
          </reference>
          <reference field="12" count="1" selected="0">
            <x v="6"/>
          </reference>
        </references>
      </pivotArea>
    </chartFormat>
    <chartFormat chart="11" format="178">
      <pivotArea type="data" outline="0" fieldPosition="0">
        <references count="3">
          <reference field="4294967294" count="1" selected="0">
            <x v="1"/>
          </reference>
          <reference field="5" count="1" selected="0">
            <x v="171"/>
          </reference>
          <reference field="12" count="1" selected="0">
            <x v="6"/>
          </reference>
        </references>
      </pivotArea>
    </chartFormat>
    <chartFormat chart="11" format="179">
      <pivotArea type="data" outline="0" fieldPosition="0">
        <references count="3">
          <reference field="4294967294" count="1" selected="0">
            <x v="1"/>
          </reference>
          <reference field="5" count="1" selected="0">
            <x v="172"/>
          </reference>
          <reference field="12" count="1" selected="0">
            <x v="6"/>
          </reference>
        </references>
      </pivotArea>
    </chartFormat>
    <chartFormat chart="11" format="180">
      <pivotArea type="data" outline="0" fieldPosition="0">
        <references count="3">
          <reference field="4294967294" count="1" selected="0">
            <x v="1"/>
          </reference>
          <reference field="5" count="1" selected="0">
            <x v="173"/>
          </reference>
          <reference field="12" count="1" selected="0">
            <x v="6"/>
          </reference>
        </references>
      </pivotArea>
    </chartFormat>
    <chartFormat chart="11" format="181">
      <pivotArea type="data" outline="0" fieldPosition="0">
        <references count="3">
          <reference field="4294967294" count="1" selected="0">
            <x v="1"/>
          </reference>
          <reference field="5" count="1" selected="0">
            <x v="174"/>
          </reference>
          <reference field="12" count="1" selected="0">
            <x v="6"/>
          </reference>
        </references>
      </pivotArea>
    </chartFormat>
    <chartFormat chart="11" format="182">
      <pivotArea type="data" outline="0" fieldPosition="0">
        <references count="3">
          <reference field="4294967294" count="1" selected="0">
            <x v="1"/>
          </reference>
          <reference field="5" count="1" selected="0">
            <x v="175"/>
          </reference>
          <reference field="12" count="1" selected="0">
            <x v="6"/>
          </reference>
        </references>
      </pivotArea>
    </chartFormat>
    <chartFormat chart="11" format="183">
      <pivotArea type="data" outline="0" fieldPosition="0">
        <references count="3">
          <reference field="4294967294" count="1" selected="0">
            <x v="1"/>
          </reference>
          <reference field="5" count="1" selected="0">
            <x v="176"/>
          </reference>
          <reference field="12" count="1" selected="0">
            <x v="6"/>
          </reference>
        </references>
      </pivotArea>
    </chartFormat>
    <chartFormat chart="11" format="184">
      <pivotArea type="data" outline="0" fieldPosition="0">
        <references count="3">
          <reference field="4294967294" count="1" selected="0">
            <x v="1"/>
          </reference>
          <reference field="5" count="1" selected="0">
            <x v="177"/>
          </reference>
          <reference field="12" count="1" selected="0">
            <x v="6"/>
          </reference>
        </references>
      </pivotArea>
    </chartFormat>
    <chartFormat chart="11" format="185">
      <pivotArea type="data" outline="0" fieldPosition="0">
        <references count="3">
          <reference field="4294967294" count="1" selected="0">
            <x v="1"/>
          </reference>
          <reference field="5" count="1" selected="0">
            <x v="178"/>
          </reference>
          <reference field="12" count="1" selected="0">
            <x v="6"/>
          </reference>
        </references>
      </pivotArea>
    </chartFormat>
    <chartFormat chart="11" format="186">
      <pivotArea type="data" outline="0" fieldPosition="0">
        <references count="3">
          <reference field="4294967294" count="1" selected="0">
            <x v="1"/>
          </reference>
          <reference field="5" count="1" selected="0">
            <x v="179"/>
          </reference>
          <reference field="12" count="1" selected="0">
            <x v="6"/>
          </reference>
        </references>
      </pivotArea>
    </chartFormat>
    <chartFormat chart="11" format="187">
      <pivotArea type="data" outline="0" fieldPosition="0">
        <references count="3">
          <reference field="4294967294" count="1" selected="0">
            <x v="1"/>
          </reference>
          <reference field="5" count="1" selected="0">
            <x v="180"/>
          </reference>
          <reference field="12" count="1" selected="0">
            <x v="6"/>
          </reference>
        </references>
      </pivotArea>
    </chartFormat>
    <chartFormat chart="11" format="188">
      <pivotArea type="data" outline="0" fieldPosition="0">
        <references count="3">
          <reference field="4294967294" count="1" selected="0">
            <x v="1"/>
          </reference>
          <reference field="5" count="1" selected="0">
            <x v="181"/>
          </reference>
          <reference field="12" count="1" selected="0">
            <x v="6"/>
          </reference>
        </references>
      </pivotArea>
    </chartFormat>
    <chartFormat chart="11" format="189">
      <pivotArea type="data" outline="0" fieldPosition="0">
        <references count="3">
          <reference field="4294967294" count="1" selected="0">
            <x v="1"/>
          </reference>
          <reference field="5" count="1" selected="0">
            <x v="182"/>
          </reference>
          <reference field="12" count="1" selected="0">
            <x v="6"/>
          </reference>
        </references>
      </pivotArea>
    </chartFormat>
    <chartFormat chart="11" format="190">
      <pivotArea type="data" outline="0" fieldPosition="0">
        <references count="3">
          <reference field="4294967294" count="1" selected="0">
            <x v="0"/>
          </reference>
          <reference field="5" count="1" selected="0">
            <x v="1"/>
          </reference>
          <reference field="12" count="1" selected="0">
            <x v="1"/>
          </reference>
        </references>
      </pivotArea>
    </chartFormat>
    <chartFormat chart="11" format="191">
      <pivotArea type="data" outline="0" fieldPosition="0">
        <references count="3">
          <reference field="4294967294" count="1" selected="0">
            <x v="0"/>
          </reference>
          <reference field="5" count="1" selected="0">
            <x v="2"/>
          </reference>
          <reference field="12" count="1" selected="0">
            <x v="1"/>
          </reference>
        </references>
      </pivotArea>
    </chartFormat>
    <chartFormat chart="11" format="192">
      <pivotArea type="data" outline="0" fieldPosition="0">
        <references count="3">
          <reference field="4294967294" count="1" selected="0">
            <x v="0"/>
          </reference>
          <reference field="5" count="1" selected="0">
            <x v="3"/>
          </reference>
          <reference field="12" count="1" selected="0">
            <x v="1"/>
          </reference>
        </references>
      </pivotArea>
    </chartFormat>
    <chartFormat chart="11" format="193">
      <pivotArea type="data" outline="0" fieldPosition="0">
        <references count="3">
          <reference field="4294967294" count="1" selected="0">
            <x v="0"/>
          </reference>
          <reference field="5" count="1" selected="0">
            <x v="4"/>
          </reference>
          <reference field="12" count="1" selected="0">
            <x v="1"/>
          </reference>
        </references>
      </pivotArea>
    </chartFormat>
    <chartFormat chart="11" format="194">
      <pivotArea type="data" outline="0" fieldPosition="0">
        <references count="3">
          <reference field="4294967294" count="1" selected="0">
            <x v="0"/>
          </reference>
          <reference field="5" count="1" selected="0">
            <x v="5"/>
          </reference>
          <reference field="12" count="1" selected="0">
            <x v="1"/>
          </reference>
        </references>
      </pivotArea>
    </chartFormat>
    <chartFormat chart="11" format="195">
      <pivotArea type="data" outline="0" fieldPosition="0">
        <references count="3">
          <reference field="4294967294" count="1" selected="0">
            <x v="0"/>
          </reference>
          <reference field="5" count="1" selected="0">
            <x v="6"/>
          </reference>
          <reference field="12" count="1" selected="0">
            <x v="1"/>
          </reference>
        </references>
      </pivotArea>
    </chartFormat>
    <chartFormat chart="11" format="196">
      <pivotArea type="data" outline="0" fieldPosition="0">
        <references count="3">
          <reference field="4294967294" count="1" selected="0">
            <x v="0"/>
          </reference>
          <reference field="5" count="1" selected="0">
            <x v="7"/>
          </reference>
          <reference field="12" count="1" selected="0">
            <x v="1"/>
          </reference>
        </references>
      </pivotArea>
    </chartFormat>
    <chartFormat chart="11" format="197">
      <pivotArea type="data" outline="0" fieldPosition="0">
        <references count="3">
          <reference field="4294967294" count="1" selected="0">
            <x v="0"/>
          </reference>
          <reference field="5" count="1" selected="0">
            <x v="8"/>
          </reference>
          <reference field="12" count="1" selected="0">
            <x v="1"/>
          </reference>
        </references>
      </pivotArea>
    </chartFormat>
    <chartFormat chart="11" format="198">
      <pivotArea type="data" outline="0" fieldPosition="0">
        <references count="3">
          <reference field="4294967294" count="1" selected="0">
            <x v="0"/>
          </reference>
          <reference field="5" count="1" selected="0">
            <x v="9"/>
          </reference>
          <reference field="12" count="1" selected="0">
            <x v="1"/>
          </reference>
        </references>
      </pivotArea>
    </chartFormat>
    <chartFormat chart="11" format="199">
      <pivotArea type="data" outline="0" fieldPosition="0">
        <references count="3">
          <reference field="4294967294" count="1" selected="0">
            <x v="0"/>
          </reference>
          <reference field="5" count="1" selected="0">
            <x v="10"/>
          </reference>
          <reference field="12" count="1" selected="0">
            <x v="1"/>
          </reference>
        </references>
      </pivotArea>
    </chartFormat>
    <chartFormat chart="11" format="200">
      <pivotArea type="data" outline="0" fieldPosition="0">
        <references count="3">
          <reference field="4294967294" count="1" selected="0">
            <x v="0"/>
          </reference>
          <reference field="5" count="1" selected="0">
            <x v="11"/>
          </reference>
          <reference field="12" count="1" selected="0">
            <x v="1"/>
          </reference>
        </references>
      </pivotArea>
    </chartFormat>
    <chartFormat chart="11" format="201">
      <pivotArea type="data" outline="0" fieldPosition="0">
        <references count="3">
          <reference field="4294967294" count="1" selected="0">
            <x v="0"/>
          </reference>
          <reference field="5" count="1" selected="0">
            <x v="12"/>
          </reference>
          <reference field="12" count="1" selected="0">
            <x v="1"/>
          </reference>
        </references>
      </pivotArea>
    </chartFormat>
    <chartFormat chart="11" format="202">
      <pivotArea type="data" outline="0" fieldPosition="0">
        <references count="3">
          <reference field="4294967294" count="1" selected="0">
            <x v="0"/>
          </reference>
          <reference field="5" count="1" selected="0">
            <x v="13"/>
          </reference>
          <reference field="12" count="1" selected="0">
            <x v="1"/>
          </reference>
        </references>
      </pivotArea>
    </chartFormat>
    <chartFormat chart="11" format="203">
      <pivotArea type="data" outline="0" fieldPosition="0">
        <references count="3">
          <reference field="4294967294" count="1" selected="0">
            <x v="0"/>
          </reference>
          <reference field="5" count="1" selected="0">
            <x v="14"/>
          </reference>
          <reference field="12" count="1" selected="0">
            <x v="1"/>
          </reference>
        </references>
      </pivotArea>
    </chartFormat>
    <chartFormat chart="11" format="204">
      <pivotArea type="data" outline="0" fieldPosition="0">
        <references count="3">
          <reference field="4294967294" count="1" selected="0">
            <x v="0"/>
          </reference>
          <reference field="5" count="1" selected="0">
            <x v="15"/>
          </reference>
          <reference field="12" count="1" selected="0">
            <x v="1"/>
          </reference>
        </references>
      </pivotArea>
    </chartFormat>
    <chartFormat chart="11" format="205">
      <pivotArea type="data" outline="0" fieldPosition="0">
        <references count="3">
          <reference field="4294967294" count="1" selected="0">
            <x v="0"/>
          </reference>
          <reference field="5" count="1" selected="0">
            <x v="16"/>
          </reference>
          <reference field="12" count="1" selected="0">
            <x v="1"/>
          </reference>
        </references>
      </pivotArea>
    </chartFormat>
    <chartFormat chart="11" format="206">
      <pivotArea type="data" outline="0" fieldPosition="0">
        <references count="3">
          <reference field="4294967294" count="1" selected="0">
            <x v="0"/>
          </reference>
          <reference field="5" count="1" selected="0">
            <x v="17"/>
          </reference>
          <reference field="12" count="1" selected="0">
            <x v="1"/>
          </reference>
        </references>
      </pivotArea>
    </chartFormat>
    <chartFormat chart="11" format="207">
      <pivotArea type="data" outline="0" fieldPosition="0">
        <references count="3">
          <reference field="4294967294" count="1" selected="0">
            <x v="0"/>
          </reference>
          <reference field="5" count="1" selected="0">
            <x v="18"/>
          </reference>
          <reference field="12" count="1" selected="0">
            <x v="1"/>
          </reference>
        </references>
      </pivotArea>
    </chartFormat>
    <chartFormat chart="11" format="208">
      <pivotArea type="data" outline="0" fieldPosition="0">
        <references count="3">
          <reference field="4294967294" count="1" selected="0">
            <x v="0"/>
          </reference>
          <reference field="5" count="1" selected="0">
            <x v="19"/>
          </reference>
          <reference field="12" count="1" selected="0">
            <x v="1"/>
          </reference>
        </references>
      </pivotArea>
    </chartFormat>
    <chartFormat chart="11" format="209">
      <pivotArea type="data" outline="0" fieldPosition="0">
        <references count="3">
          <reference field="4294967294" count="1" selected="0">
            <x v="0"/>
          </reference>
          <reference field="5" count="1" selected="0">
            <x v="20"/>
          </reference>
          <reference field="12" count="1" selected="0">
            <x v="1"/>
          </reference>
        </references>
      </pivotArea>
    </chartFormat>
    <chartFormat chart="11" format="210">
      <pivotArea type="data" outline="0" fieldPosition="0">
        <references count="3">
          <reference field="4294967294" count="1" selected="0">
            <x v="0"/>
          </reference>
          <reference field="5" count="1" selected="0">
            <x v="21"/>
          </reference>
          <reference field="12" count="1" selected="0">
            <x v="1"/>
          </reference>
        </references>
      </pivotArea>
    </chartFormat>
    <chartFormat chart="11" format="211">
      <pivotArea type="data" outline="0" fieldPosition="0">
        <references count="3">
          <reference field="4294967294" count="1" selected="0">
            <x v="0"/>
          </reference>
          <reference field="5" count="1" selected="0">
            <x v="22"/>
          </reference>
          <reference field="12" count="1" selected="0">
            <x v="1"/>
          </reference>
        </references>
      </pivotArea>
    </chartFormat>
    <chartFormat chart="11" format="212">
      <pivotArea type="data" outline="0" fieldPosition="0">
        <references count="3">
          <reference field="4294967294" count="1" selected="0">
            <x v="0"/>
          </reference>
          <reference field="5" count="1" selected="0">
            <x v="23"/>
          </reference>
          <reference field="12" count="1" selected="0">
            <x v="1"/>
          </reference>
        </references>
      </pivotArea>
    </chartFormat>
    <chartFormat chart="11" format="213">
      <pivotArea type="data" outline="0" fieldPosition="0">
        <references count="3">
          <reference field="4294967294" count="1" selected="0">
            <x v="0"/>
          </reference>
          <reference field="5" count="1" selected="0">
            <x v="24"/>
          </reference>
          <reference field="12" count="1" selected="0">
            <x v="1"/>
          </reference>
        </references>
      </pivotArea>
    </chartFormat>
    <chartFormat chart="11" format="214">
      <pivotArea type="data" outline="0" fieldPosition="0">
        <references count="3">
          <reference field="4294967294" count="1" selected="0">
            <x v="0"/>
          </reference>
          <reference field="5" count="1" selected="0">
            <x v="25"/>
          </reference>
          <reference field="12" count="1" selected="0">
            <x v="1"/>
          </reference>
        </references>
      </pivotArea>
    </chartFormat>
    <chartFormat chart="11" format="215">
      <pivotArea type="data" outline="0" fieldPosition="0">
        <references count="3">
          <reference field="4294967294" count="1" selected="0">
            <x v="0"/>
          </reference>
          <reference field="5" count="1" selected="0">
            <x v="26"/>
          </reference>
          <reference field="12" count="1" selected="0">
            <x v="1"/>
          </reference>
        </references>
      </pivotArea>
    </chartFormat>
    <chartFormat chart="11" format="216">
      <pivotArea type="data" outline="0" fieldPosition="0">
        <references count="3">
          <reference field="4294967294" count="1" selected="0">
            <x v="0"/>
          </reference>
          <reference field="5" count="1" selected="0">
            <x v="27"/>
          </reference>
          <reference field="12" count="1" selected="0">
            <x v="1"/>
          </reference>
        </references>
      </pivotArea>
    </chartFormat>
    <chartFormat chart="11" format="217">
      <pivotArea type="data" outline="0" fieldPosition="0">
        <references count="3">
          <reference field="4294967294" count="1" selected="0">
            <x v="0"/>
          </reference>
          <reference field="5" count="1" selected="0">
            <x v="28"/>
          </reference>
          <reference field="12" count="1" selected="0">
            <x v="1"/>
          </reference>
        </references>
      </pivotArea>
    </chartFormat>
    <chartFormat chart="11" format="218">
      <pivotArea type="data" outline="0" fieldPosition="0">
        <references count="3">
          <reference field="4294967294" count="1" selected="0">
            <x v="0"/>
          </reference>
          <reference field="5" count="1" selected="0">
            <x v="29"/>
          </reference>
          <reference field="12" count="1" selected="0">
            <x v="1"/>
          </reference>
        </references>
      </pivotArea>
    </chartFormat>
    <chartFormat chart="11" format="219">
      <pivotArea type="data" outline="0" fieldPosition="0">
        <references count="3">
          <reference field="4294967294" count="1" selected="0">
            <x v="0"/>
          </reference>
          <reference field="5" count="1" selected="0">
            <x v="30"/>
          </reference>
          <reference field="12" count="1" selected="0">
            <x v="1"/>
          </reference>
        </references>
      </pivotArea>
    </chartFormat>
    <chartFormat chart="11" format="220">
      <pivotArea type="data" outline="0" fieldPosition="0">
        <references count="3">
          <reference field="4294967294" count="1" selected="0">
            <x v="0"/>
          </reference>
          <reference field="5" count="1" selected="0">
            <x v="31"/>
          </reference>
          <reference field="12" count="1" selected="0">
            <x v="1"/>
          </reference>
        </references>
      </pivotArea>
    </chartFormat>
    <chartFormat chart="11" format="221">
      <pivotArea type="data" outline="0" fieldPosition="0">
        <references count="3">
          <reference field="4294967294" count="1" selected="0">
            <x v="1"/>
          </reference>
          <reference field="5" count="1" selected="0">
            <x v="1"/>
          </reference>
          <reference field="12" count="1" selected="0">
            <x v="1"/>
          </reference>
        </references>
      </pivotArea>
    </chartFormat>
    <chartFormat chart="11" format="222">
      <pivotArea type="data" outline="0" fieldPosition="0">
        <references count="3">
          <reference field="4294967294" count="1" selected="0">
            <x v="1"/>
          </reference>
          <reference field="5" count="1" selected="0">
            <x v="2"/>
          </reference>
          <reference field="12" count="1" selected="0">
            <x v="1"/>
          </reference>
        </references>
      </pivotArea>
    </chartFormat>
    <chartFormat chart="11" format="223">
      <pivotArea type="data" outline="0" fieldPosition="0">
        <references count="3">
          <reference field="4294967294" count="1" selected="0">
            <x v="1"/>
          </reference>
          <reference field="5" count="1" selected="0">
            <x v="3"/>
          </reference>
          <reference field="12" count="1" selected="0">
            <x v="1"/>
          </reference>
        </references>
      </pivotArea>
    </chartFormat>
    <chartFormat chart="11" format="224">
      <pivotArea type="data" outline="0" fieldPosition="0">
        <references count="3">
          <reference field="4294967294" count="1" selected="0">
            <x v="1"/>
          </reference>
          <reference field="5" count="1" selected="0">
            <x v="4"/>
          </reference>
          <reference field="12" count="1" selected="0">
            <x v="1"/>
          </reference>
        </references>
      </pivotArea>
    </chartFormat>
    <chartFormat chart="11" format="225">
      <pivotArea type="data" outline="0" fieldPosition="0">
        <references count="3">
          <reference field="4294967294" count="1" selected="0">
            <x v="1"/>
          </reference>
          <reference field="5" count="1" selected="0">
            <x v="5"/>
          </reference>
          <reference field="12" count="1" selected="0">
            <x v="1"/>
          </reference>
        </references>
      </pivotArea>
    </chartFormat>
    <chartFormat chart="11" format="226">
      <pivotArea type="data" outline="0" fieldPosition="0">
        <references count="3">
          <reference field="4294967294" count="1" selected="0">
            <x v="1"/>
          </reference>
          <reference field="5" count="1" selected="0">
            <x v="6"/>
          </reference>
          <reference field="12" count="1" selected="0">
            <x v="1"/>
          </reference>
        </references>
      </pivotArea>
    </chartFormat>
    <chartFormat chart="11" format="227">
      <pivotArea type="data" outline="0" fieldPosition="0">
        <references count="3">
          <reference field="4294967294" count="1" selected="0">
            <x v="1"/>
          </reference>
          <reference field="5" count="1" selected="0">
            <x v="7"/>
          </reference>
          <reference field="12" count="1" selected="0">
            <x v="1"/>
          </reference>
        </references>
      </pivotArea>
    </chartFormat>
    <chartFormat chart="11" format="228">
      <pivotArea type="data" outline="0" fieldPosition="0">
        <references count="3">
          <reference field="4294967294" count="1" selected="0">
            <x v="1"/>
          </reference>
          <reference field="5" count="1" selected="0">
            <x v="8"/>
          </reference>
          <reference field="12" count="1" selected="0">
            <x v="1"/>
          </reference>
        </references>
      </pivotArea>
    </chartFormat>
    <chartFormat chart="11" format="229">
      <pivotArea type="data" outline="0" fieldPosition="0">
        <references count="3">
          <reference field="4294967294" count="1" selected="0">
            <x v="1"/>
          </reference>
          <reference field="5" count="1" selected="0">
            <x v="9"/>
          </reference>
          <reference field="12" count="1" selected="0">
            <x v="1"/>
          </reference>
        </references>
      </pivotArea>
    </chartFormat>
    <chartFormat chart="11" format="230">
      <pivotArea type="data" outline="0" fieldPosition="0">
        <references count="3">
          <reference field="4294967294" count="1" selected="0">
            <x v="1"/>
          </reference>
          <reference field="5" count="1" selected="0">
            <x v="10"/>
          </reference>
          <reference field="12" count="1" selected="0">
            <x v="1"/>
          </reference>
        </references>
      </pivotArea>
    </chartFormat>
    <chartFormat chart="11" format="231">
      <pivotArea type="data" outline="0" fieldPosition="0">
        <references count="3">
          <reference field="4294967294" count="1" selected="0">
            <x v="1"/>
          </reference>
          <reference field="5" count="1" selected="0">
            <x v="11"/>
          </reference>
          <reference field="12" count="1" selected="0">
            <x v="1"/>
          </reference>
        </references>
      </pivotArea>
    </chartFormat>
    <chartFormat chart="11" format="232">
      <pivotArea type="data" outline="0" fieldPosition="0">
        <references count="3">
          <reference field="4294967294" count="1" selected="0">
            <x v="1"/>
          </reference>
          <reference field="5" count="1" selected="0">
            <x v="12"/>
          </reference>
          <reference field="12" count="1" selected="0">
            <x v="1"/>
          </reference>
        </references>
      </pivotArea>
    </chartFormat>
    <chartFormat chart="11" format="233">
      <pivotArea type="data" outline="0" fieldPosition="0">
        <references count="3">
          <reference field="4294967294" count="1" selected="0">
            <x v="1"/>
          </reference>
          <reference field="5" count="1" selected="0">
            <x v="13"/>
          </reference>
          <reference field="12" count="1" selected="0">
            <x v="1"/>
          </reference>
        </references>
      </pivotArea>
    </chartFormat>
    <chartFormat chart="11" format="234">
      <pivotArea type="data" outline="0" fieldPosition="0">
        <references count="3">
          <reference field="4294967294" count="1" selected="0">
            <x v="1"/>
          </reference>
          <reference field="5" count="1" selected="0">
            <x v="14"/>
          </reference>
          <reference field="12" count="1" selected="0">
            <x v="1"/>
          </reference>
        </references>
      </pivotArea>
    </chartFormat>
    <chartFormat chart="11" format="235">
      <pivotArea type="data" outline="0" fieldPosition="0">
        <references count="3">
          <reference field="4294967294" count="1" selected="0">
            <x v="1"/>
          </reference>
          <reference field="5" count="1" selected="0">
            <x v="15"/>
          </reference>
          <reference field="12" count="1" selected="0">
            <x v="1"/>
          </reference>
        </references>
      </pivotArea>
    </chartFormat>
    <chartFormat chart="11" format="236">
      <pivotArea type="data" outline="0" fieldPosition="0">
        <references count="3">
          <reference field="4294967294" count="1" selected="0">
            <x v="1"/>
          </reference>
          <reference field="5" count="1" selected="0">
            <x v="16"/>
          </reference>
          <reference field="12" count="1" selected="0">
            <x v="1"/>
          </reference>
        </references>
      </pivotArea>
    </chartFormat>
    <chartFormat chart="11" format="237">
      <pivotArea type="data" outline="0" fieldPosition="0">
        <references count="3">
          <reference field="4294967294" count="1" selected="0">
            <x v="1"/>
          </reference>
          <reference field="5" count="1" selected="0">
            <x v="17"/>
          </reference>
          <reference field="12" count="1" selected="0">
            <x v="1"/>
          </reference>
        </references>
      </pivotArea>
    </chartFormat>
    <chartFormat chart="11" format="238">
      <pivotArea type="data" outline="0" fieldPosition="0">
        <references count="3">
          <reference field="4294967294" count="1" selected="0">
            <x v="1"/>
          </reference>
          <reference field="5" count="1" selected="0">
            <x v="18"/>
          </reference>
          <reference field="12" count="1" selected="0">
            <x v="1"/>
          </reference>
        </references>
      </pivotArea>
    </chartFormat>
    <chartFormat chart="11" format="239">
      <pivotArea type="data" outline="0" fieldPosition="0">
        <references count="3">
          <reference field="4294967294" count="1" selected="0">
            <x v="1"/>
          </reference>
          <reference field="5" count="1" selected="0">
            <x v="19"/>
          </reference>
          <reference field="12" count="1" selected="0">
            <x v="1"/>
          </reference>
        </references>
      </pivotArea>
    </chartFormat>
    <chartFormat chart="11" format="240">
      <pivotArea type="data" outline="0" fieldPosition="0">
        <references count="3">
          <reference field="4294967294" count="1" selected="0">
            <x v="1"/>
          </reference>
          <reference field="5" count="1" selected="0">
            <x v="20"/>
          </reference>
          <reference field="12" count="1" selected="0">
            <x v="1"/>
          </reference>
        </references>
      </pivotArea>
    </chartFormat>
    <chartFormat chart="11" format="241">
      <pivotArea type="data" outline="0" fieldPosition="0">
        <references count="3">
          <reference field="4294967294" count="1" selected="0">
            <x v="1"/>
          </reference>
          <reference field="5" count="1" selected="0">
            <x v="21"/>
          </reference>
          <reference field="12" count="1" selected="0">
            <x v="1"/>
          </reference>
        </references>
      </pivotArea>
    </chartFormat>
    <chartFormat chart="11" format="242">
      <pivotArea type="data" outline="0" fieldPosition="0">
        <references count="3">
          <reference field="4294967294" count="1" selected="0">
            <x v="1"/>
          </reference>
          <reference field="5" count="1" selected="0">
            <x v="22"/>
          </reference>
          <reference field="12" count="1" selected="0">
            <x v="1"/>
          </reference>
        </references>
      </pivotArea>
    </chartFormat>
    <chartFormat chart="11" format="243">
      <pivotArea type="data" outline="0" fieldPosition="0">
        <references count="3">
          <reference field="4294967294" count="1" selected="0">
            <x v="1"/>
          </reference>
          <reference field="5" count="1" selected="0">
            <x v="23"/>
          </reference>
          <reference field="12" count="1" selected="0">
            <x v="1"/>
          </reference>
        </references>
      </pivotArea>
    </chartFormat>
    <chartFormat chart="11" format="244">
      <pivotArea type="data" outline="0" fieldPosition="0">
        <references count="3">
          <reference field="4294967294" count="1" selected="0">
            <x v="1"/>
          </reference>
          <reference field="5" count="1" selected="0">
            <x v="24"/>
          </reference>
          <reference field="12" count="1" selected="0">
            <x v="1"/>
          </reference>
        </references>
      </pivotArea>
    </chartFormat>
    <chartFormat chart="11" format="245">
      <pivotArea type="data" outline="0" fieldPosition="0">
        <references count="3">
          <reference field="4294967294" count="1" selected="0">
            <x v="1"/>
          </reference>
          <reference field="5" count="1" selected="0">
            <x v="25"/>
          </reference>
          <reference field="12" count="1" selected="0">
            <x v="1"/>
          </reference>
        </references>
      </pivotArea>
    </chartFormat>
    <chartFormat chart="11" format="246">
      <pivotArea type="data" outline="0" fieldPosition="0">
        <references count="3">
          <reference field="4294967294" count="1" selected="0">
            <x v="1"/>
          </reference>
          <reference field="5" count="1" selected="0">
            <x v="26"/>
          </reference>
          <reference field="12" count="1" selected="0">
            <x v="1"/>
          </reference>
        </references>
      </pivotArea>
    </chartFormat>
    <chartFormat chart="11" format="247">
      <pivotArea type="data" outline="0" fieldPosition="0">
        <references count="3">
          <reference field="4294967294" count="1" selected="0">
            <x v="1"/>
          </reference>
          <reference field="5" count="1" selected="0">
            <x v="27"/>
          </reference>
          <reference field="12" count="1" selected="0">
            <x v="1"/>
          </reference>
        </references>
      </pivotArea>
    </chartFormat>
    <chartFormat chart="11" format="248">
      <pivotArea type="data" outline="0" fieldPosition="0">
        <references count="3">
          <reference field="4294967294" count="1" selected="0">
            <x v="1"/>
          </reference>
          <reference field="5" count="1" selected="0">
            <x v="28"/>
          </reference>
          <reference field="12" count="1" selected="0">
            <x v="1"/>
          </reference>
        </references>
      </pivotArea>
    </chartFormat>
    <chartFormat chart="11" format="249">
      <pivotArea type="data" outline="0" fieldPosition="0">
        <references count="3">
          <reference field="4294967294" count="1" selected="0">
            <x v="1"/>
          </reference>
          <reference field="5" count="1" selected="0">
            <x v="29"/>
          </reference>
          <reference field="12" count="1" selected="0">
            <x v="1"/>
          </reference>
        </references>
      </pivotArea>
    </chartFormat>
    <chartFormat chart="11" format="250">
      <pivotArea type="data" outline="0" fieldPosition="0">
        <references count="3">
          <reference field="4294967294" count="1" selected="0">
            <x v="1"/>
          </reference>
          <reference field="5" count="1" selected="0">
            <x v="30"/>
          </reference>
          <reference field="12" count="1" selected="0">
            <x v="1"/>
          </reference>
        </references>
      </pivotArea>
    </chartFormat>
    <chartFormat chart="11" format="251">
      <pivotArea type="data" outline="0" fieldPosition="0">
        <references count="3">
          <reference field="4294967294" count="1" selected="0">
            <x v="1"/>
          </reference>
          <reference field="5" count="1" selected="0">
            <x v="31"/>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8F418F06-8AD2-4F44-995B-7C393D2EEDFF}" sourceName="Month Name">
  <pivotTables>
    <pivotTable tabId="5" name="MonthDetails"/>
    <pivotTable tabId="4" name="Daily Summary"/>
    <pivotTable tabId="7" name="HelperPivot"/>
    <pivotTable tabId="8" name="PivotStation"/>
  </pivotTables>
  <data>
    <tabular pivotCacheId="813838049">
      <items count="12">
        <i x="0"/>
        <i x="1" s="1"/>
        <i x="2"/>
        <i x="3"/>
        <i x="4"/>
        <i x="5"/>
        <i x="6"/>
        <i x="7"/>
        <i x="8"/>
        <i x="9"/>
        <i x="10"/>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ion_Name" xr10:uid="{B378BB8A-15E3-4932-A5C5-A875E9705637}" sourceName="Station Name">
  <pivotTables>
    <pivotTable tabId="5" name="MonthDetails"/>
    <pivotTable tabId="4" name="Daily Summary"/>
    <pivotTable tabId="7" name="HelperPivot"/>
    <pivotTable tabId="8" name="PivotStation"/>
  </pivotTables>
  <data>
    <tabular pivotCacheId="813838049">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64BFA97A-515C-4E4E-BA3E-5903FA1E77F6}" cache="Slicer_Month_Name" caption="Month Name" columnCount="6" showCaption="0" style="SlicerStyleLight1 2" rowHeight="288000"/>
  <slicer name="Station Name" xr10:uid="{1A49F579-6077-498F-8712-FD739EFDCA40}" cache="Slicer_Station_Name" caption="Station Name" showCaption="0" style="SlicerStyleLight1 2"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03E6E-8C42-4CBF-B4AF-C4C5599A7A7E}" name="WeatherData" displayName="WeatherData" ref="A1:L733" totalsRowShown="0" headerRowDxfId="43" dataDxfId="42">
  <autoFilter ref="A1:L733" xr:uid="{59703E6E-8C42-4CBF-B4AF-C4C5599A7A7E}"/>
  <tableColumns count="12">
    <tableColumn id="1" xr3:uid="{FFBB425C-1519-48D7-A762-D0CDFE2965EF}" name="Station Number" dataDxfId="41"/>
    <tableColumn id="16" xr3:uid="{0257AB8B-C8FB-4768-8677-27769BF91579}" name="Station Name" dataDxfId="40">
      <calculatedColumnFormula>VLOOKUP( WeatherData[[#This Row],[Station Number]], 'Station Numbers'!A:B,2,FALSE)</calculatedColumnFormula>
    </tableColumn>
    <tableColumn id="2" xr3:uid="{B5E4F4A9-9DAD-42B1-A819-29DB48FC2F82}" name="Year" dataDxfId="39"/>
    <tableColumn id="3" xr3:uid="{29F45573-EA78-4C15-A9DC-A8332664772E}" name="Month" dataDxfId="38"/>
    <tableColumn id="4" xr3:uid="{008F92E3-7BA5-40E9-9F41-2A4111BADDD0}" name="Day" dataDxfId="37"/>
    <tableColumn id="8" xr3:uid="{91DC9172-17C4-44D2-AF12-FC55D0C0C244}" name="Date" dataDxfId="36">
      <calculatedColumnFormula>DATE(WeatherData[[#This Row],[Year]],WeatherData[[#This Row],[Month]],WeatherData[[#This Row],[Day]])</calculatedColumnFormula>
    </tableColumn>
    <tableColumn id="9" xr3:uid="{97D13411-7AFD-423C-B591-1B4DA138C424}" name="Month Name" dataDxfId="35">
      <calculatedColumnFormula>TEXT(WeatherData[[#This Row],[Date]], "mmmm")</calculatedColumnFormula>
    </tableColumn>
    <tableColumn id="5" xr3:uid="{48C68A58-5CC6-418B-A451-831C42C81B63}" name="Rainfall (mms)" dataDxfId="34"/>
    <tableColumn id="6" xr3:uid="{F106C139-8E5C-4A5D-BE73-A19E6B77C2A8}" name="Max Temp (° C)" dataDxfId="33"/>
    <tableColumn id="7" xr3:uid="{277BF00A-F54E-4619-8391-4B1B2182A5B2}" name="Min Temp(° C)" dataDxfId="32"/>
    <tableColumn id="11" xr3:uid="{96C3E2B1-83C6-440F-BA24-D21DE6A6AC44}" name="Temp Range " dataDxfId="31">
      <calculatedColumnFormula>I2-J2</calculatedColumnFormula>
    </tableColumn>
    <tableColumn id="12" xr3:uid="{0921986C-3C10-4D18-BDF3-60A5104BD27C}" name="Weather Condition" dataDxfId="30">
      <calculatedColumnFormula>IF(AND(I2&gt;35, H2&gt;20), "Heatwave + Rain",
   IF(I2&gt;35, "Heatwave",
   IF(H2&gt;20, "Heavy Rain",
   IF(I2&lt;10, "Cold",
   "Normal"))))</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1003"/>
  <sheetViews>
    <sheetView tabSelected="1" workbookViewId="0">
      <selection activeCell="G7" sqref="G7"/>
    </sheetView>
  </sheetViews>
  <sheetFormatPr defaultColWidth="10.09765625" defaultRowHeight="15" customHeight="1" x14ac:dyDescent="0.3"/>
  <cols>
    <col min="1" max="1" width="12.5" customWidth="1"/>
    <col min="2" max="2" width="10.296875" customWidth="1"/>
    <col min="3" max="3" width="12.19921875" customWidth="1"/>
    <col min="4" max="4" width="13.69921875" customWidth="1"/>
    <col min="5" max="5" width="11.69921875" customWidth="1"/>
    <col min="6" max="6" width="15.09765625" customWidth="1"/>
    <col min="7" max="7" width="17.5" customWidth="1"/>
    <col min="8" max="8" width="8.69921875" customWidth="1"/>
    <col min="9" max="12" width="8.5" customWidth="1"/>
    <col min="13" max="13" width="5.69921875" customWidth="1"/>
    <col min="14" max="14" width="5.3984375" customWidth="1"/>
    <col min="15" max="25" width="8.5" customWidth="1"/>
  </cols>
  <sheetData>
    <row r="1" spans="1:14" ht="18" customHeight="1" thickBot="1" x14ac:dyDescent="0.35">
      <c r="A1" s="74"/>
      <c r="B1" s="89" t="s">
        <v>15</v>
      </c>
      <c r="C1" s="75"/>
      <c r="D1" s="76"/>
      <c r="I1" s="41"/>
      <c r="J1" s="43" t="s">
        <v>30</v>
      </c>
      <c r="K1" s="41"/>
      <c r="L1" s="41"/>
      <c r="M1" s="41"/>
    </row>
    <row r="2" spans="1:14" ht="18" customHeight="1" thickBot="1" x14ac:dyDescent="0.35">
      <c r="A2" s="71"/>
      <c r="B2" s="72"/>
      <c r="C2" s="72"/>
      <c r="D2" s="73"/>
      <c r="I2" s="41"/>
      <c r="J2" s="41"/>
      <c r="K2" s="41"/>
      <c r="L2" s="41"/>
      <c r="M2" s="41"/>
    </row>
    <row r="3" spans="1:14" ht="18" customHeight="1" x14ac:dyDescent="0.3">
      <c r="A3" s="59" t="s">
        <v>14</v>
      </c>
      <c r="B3" s="69">
        <v>43831</v>
      </c>
      <c r="C3" s="60"/>
      <c r="D3" s="61"/>
      <c r="I3" s="41"/>
      <c r="J3" s="41"/>
      <c r="K3" s="41"/>
      <c r="L3" s="41"/>
      <c r="M3" s="41"/>
    </row>
    <row r="4" spans="1:14" ht="18" customHeight="1" x14ac:dyDescent="0.3">
      <c r="A4" s="62"/>
      <c r="B4" s="63"/>
      <c r="C4" s="64"/>
      <c r="D4" s="61"/>
      <c r="F4" s="1"/>
      <c r="I4" s="41"/>
      <c r="J4" s="41"/>
      <c r="K4" s="41"/>
      <c r="L4" s="41"/>
      <c r="M4" s="41"/>
    </row>
    <row r="5" spans="1:14" ht="18" customHeight="1" x14ac:dyDescent="0.3">
      <c r="A5" s="65" t="s">
        <v>22</v>
      </c>
      <c r="B5" s="66" t="s">
        <v>23</v>
      </c>
      <c r="C5" s="66" t="s">
        <v>16</v>
      </c>
      <c r="D5" s="70" t="s">
        <v>34</v>
      </c>
      <c r="I5" s="41"/>
      <c r="J5" s="42"/>
      <c r="K5" s="42"/>
      <c r="L5" s="42"/>
      <c r="M5" s="42"/>
      <c r="N5" s="40"/>
    </row>
    <row r="6" spans="1:14" ht="22.15" customHeight="1" x14ac:dyDescent="0.3">
      <c r="A6" s="67">
        <f>INDEX(WeatherData!I:I, MATCH(B3, WeatherData!F:F, 0))</f>
        <v>23.9</v>
      </c>
      <c r="B6" s="68">
        <f>INDEX(WeatherData!J:J, MATCH(B3, WeatherData!F:F, 0))</f>
        <v>12</v>
      </c>
      <c r="C6" s="68">
        <f>INDEX(WeatherData!H:H, MATCH(B3, WeatherData!F:F, 0))</f>
        <v>0</v>
      </c>
      <c r="D6" s="61" t="str">
        <f>VLOOKUP(B3,WeatherData!F:L,7, FALSE)</f>
        <v>Normal</v>
      </c>
      <c r="I6" s="41"/>
      <c r="J6" s="42"/>
      <c r="K6" s="42"/>
      <c r="L6" s="42"/>
      <c r="M6" s="42"/>
      <c r="N6" s="40"/>
    </row>
    <row r="7" spans="1:14" ht="18" customHeight="1" thickBot="1" x14ac:dyDescent="0.35">
      <c r="A7" s="17"/>
      <c r="B7" s="18"/>
      <c r="C7" s="18"/>
      <c r="D7" s="15"/>
      <c r="I7" s="41"/>
      <c r="J7" s="42"/>
      <c r="K7" s="42"/>
      <c r="L7" s="42"/>
      <c r="M7" s="42"/>
      <c r="N7" s="40"/>
    </row>
    <row r="8" spans="1:14" ht="18" customHeight="1" x14ac:dyDescent="0.3">
      <c r="A8" s="13"/>
      <c r="B8" s="14"/>
      <c r="C8" s="14"/>
      <c r="I8" s="41"/>
      <c r="J8" s="41"/>
      <c r="K8" s="41"/>
      <c r="L8" s="41"/>
      <c r="M8" s="41"/>
    </row>
    <row r="9" spans="1:14" ht="18" customHeight="1" thickBot="1" x14ac:dyDescent="0.35">
      <c r="I9" s="41"/>
      <c r="J9" s="41"/>
      <c r="K9" s="41"/>
      <c r="L9" s="41"/>
      <c r="M9" s="41"/>
    </row>
    <row r="10" spans="1:14" ht="18" customHeight="1" thickBot="1" x14ac:dyDescent="0.35">
      <c r="A10" s="90" t="s">
        <v>17</v>
      </c>
      <c r="B10" s="91"/>
      <c r="C10" s="91"/>
      <c r="D10" s="91"/>
      <c r="E10" s="91"/>
      <c r="F10" s="91"/>
      <c r="G10" s="92"/>
      <c r="I10" s="41"/>
      <c r="J10" s="41"/>
      <c r="K10" s="41"/>
      <c r="L10" s="41"/>
      <c r="M10" s="41"/>
    </row>
    <row r="11" spans="1:14" ht="18" customHeight="1" x14ac:dyDescent="0.3">
      <c r="A11" s="20"/>
      <c r="B11" s="21"/>
      <c r="C11" s="22" t="s">
        <v>3</v>
      </c>
      <c r="D11" s="21"/>
      <c r="E11" s="21"/>
      <c r="F11" s="29" t="s">
        <v>29</v>
      </c>
      <c r="G11" s="30"/>
      <c r="I11" s="41"/>
      <c r="J11" s="41"/>
      <c r="K11" s="41"/>
      <c r="L11" s="41"/>
      <c r="M11" s="41"/>
    </row>
    <row r="12" spans="1:14" ht="18" customHeight="1" x14ac:dyDescent="0.3">
      <c r="A12" s="20"/>
      <c r="B12" s="21"/>
      <c r="C12" s="27"/>
      <c r="D12" s="23"/>
      <c r="E12" s="24"/>
      <c r="F12" s="31"/>
      <c r="G12" s="30"/>
      <c r="I12" s="41"/>
      <c r="J12" s="41"/>
      <c r="K12" s="41"/>
      <c r="L12" s="41"/>
      <c r="M12" s="41"/>
    </row>
    <row r="13" spans="1:14" ht="18" customHeight="1" x14ac:dyDescent="0.3">
      <c r="A13" s="25"/>
      <c r="B13" s="26"/>
      <c r="C13" s="26"/>
      <c r="D13" s="26"/>
      <c r="E13" s="27"/>
      <c r="F13" s="32"/>
      <c r="G13" s="33"/>
      <c r="I13" s="41"/>
      <c r="J13" s="41"/>
      <c r="K13" s="41"/>
      <c r="L13" s="41"/>
      <c r="M13" s="41"/>
    </row>
    <row r="14" spans="1:14" ht="18" customHeight="1" x14ac:dyDescent="0.3">
      <c r="A14" s="25"/>
      <c r="B14" s="26"/>
      <c r="C14" s="28"/>
      <c r="D14" s="26"/>
      <c r="E14" s="27"/>
      <c r="F14" s="32"/>
      <c r="G14" s="33"/>
      <c r="I14" s="41"/>
      <c r="J14" s="41"/>
      <c r="K14" s="41"/>
      <c r="L14" s="41"/>
      <c r="M14" s="41"/>
    </row>
    <row r="15" spans="1:14" ht="18" customHeight="1" x14ac:dyDescent="0.3">
      <c r="A15" s="25"/>
      <c r="B15" s="26"/>
      <c r="C15" s="28"/>
      <c r="D15" s="26"/>
      <c r="E15" s="27"/>
      <c r="F15" s="44"/>
      <c r="G15" s="45"/>
      <c r="I15" s="41"/>
      <c r="J15" s="41"/>
      <c r="K15" s="41"/>
      <c r="L15" s="41"/>
      <c r="M15" s="41"/>
    </row>
    <row r="16" spans="1:14" ht="18" customHeight="1" x14ac:dyDescent="0.3">
      <c r="A16" s="46"/>
      <c r="B16" s="47"/>
      <c r="C16" s="44"/>
      <c r="D16" s="47"/>
      <c r="E16" s="44"/>
      <c r="F16" s="44"/>
      <c r="G16" s="45"/>
      <c r="I16" s="41"/>
      <c r="J16" s="41"/>
      <c r="K16" s="41"/>
      <c r="L16" s="41"/>
      <c r="M16" s="41"/>
    </row>
    <row r="17" spans="1:13" ht="18" customHeight="1" x14ac:dyDescent="0.3">
      <c r="A17" s="54" t="s">
        <v>22</v>
      </c>
      <c r="B17" s="55"/>
      <c r="C17" s="34" t="s">
        <v>23</v>
      </c>
      <c r="D17" s="35"/>
      <c r="E17" s="52" t="s">
        <v>1</v>
      </c>
      <c r="F17" s="38" t="s">
        <v>28</v>
      </c>
      <c r="G17" s="77" t="s">
        <v>32</v>
      </c>
      <c r="I17" s="41"/>
      <c r="J17" s="41"/>
      <c r="K17" s="41"/>
      <c r="L17" s="41"/>
      <c r="M17" s="41"/>
    </row>
    <row r="18" spans="1:13" ht="18" customHeight="1" x14ac:dyDescent="0.3">
      <c r="A18" s="56" t="s">
        <v>18</v>
      </c>
      <c r="B18" s="55" t="s">
        <v>21</v>
      </c>
      <c r="C18" s="36" t="s">
        <v>24</v>
      </c>
      <c r="D18" s="35" t="s">
        <v>21</v>
      </c>
      <c r="E18" s="53"/>
      <c r="F18" s="39"/>
      <c r="G18" s="78"/>
      <c r="I18" s="41"/>
      <c r="J18" s="41"/>
      <c r="K18" s="41"/>
      <c r="L18" s="41"/>
      <c r="M18" s="41"/>
    </row>
    <row r="19" spans="1:13" ht="18" customHeight="1" x14ac:dyDescent="0.3">
      <c r="A19" s="57">
        <f>GETPIVOTDATA("Max Temp",MonthDetails!$A$5, "Month Name", MonthDetails!$G$6)</f>
        <v>33</v>
      </c>
      <c r="B19" s="58">
        <f>AVERAGEIF(WeatherData!G:G, MonthDetails!G6,WeatherData!I:I)</f>
        <v>24.977586206896554</v>
      </c>
      <c r="C19" s="37">
        <f>GETPIVOTDATA("Min Temp",MonthDetails!$A$5, "Month Name", MonthDetails!$G$6)</f>
        <v>12.2</v>
      </c>
      <c r="D19" s="37">
        <f>AVERAGEIF(WeatherData!G:G,MonthDetails!G6,WeatherData!J:J)</f>
        <v>16.112068965517242</v>
      </c>
      <c r="E19" s="53">
        <f>GETPIVOTDATA("Total Rainfall",MonthDetails!$A$5,"Month Name",MonthDetails!$G$6)</f>
        <v>32.800000000000004</v>
      </c>
      <c r="F19" s="50">
        <f>VLOOKUP(MonthDetails!G6, MonthDetails!A4:E6, 5, FALSE)</f>
        <v>18</v>
      </c>
      <c r="G19" s="77">
        <f>COUNTIFS(WeatherData!G:G,MonthDetails!G6,WeatherData!B:B, MonthDetails!J6,WeatherData!L:L,"Heatwave")</f>
        <v>0</v>
      </c>
      <c r="I19" s="41"/>
      <c r="J19" s="41"/>
      <c r="K19" s="41"/>
      <c r="L19" s="41"/>
      <c r="M19" s="41"/>
    </row>
    <row r="20" spans="1:13" ht="18" customHeight="1" thickBot="1" x14ac:dyDescent="0.35">
      <c r="A20" s="48"/>
      <c r="B20" s="49"/>
      <c r="C20" s="49"/>
      <c r="D20" s="49"/>
      <c r="E20" s="18"/>
      <c r="F20" s="18"/>
      <c r="G20" s="19"/>
      <c r="I20" s="41"/>
      <c r="J20" s="41"/>
      <c r="K20" s="41"/>
      <c r="L20" s="41"/>
      <c r="M20" s="41"/>
    </row>
    <row r="21" spans="1:13" ht="18" customHeight="1" x14ac:dyDescent="0.3"/>
    <row r="22" spans="1:13" ht="18" customHeight="1" x14ac:dyDescent="0.3"/>
    <row r="23" spans="1:13" ht="18" customHeight="1" x14ac:dyDescent="0.3"/>
    <row r="24" spans="1:13" ht="18" customHeight="1" x14ac:dyDescent="0.3"/>
    <row r="25" spans="1:13" ht="18" customHeight="1" x14ac:dyDescent="0.3"/>
    <row r="26" spans="1:13" ht="18" customHeight="1" x14ac:dyDescent="0.3"/>
    <row r="27" spans="1:13" ht="18" customHeight="1" x14ac:dyDescent="0.3"/>
    <row r="28" spans="1:13" ht="18" customHeight="1" x14ac:dyDescent="0.3"/>
    <row r="29" spans="1:13" ht="18" customHeight="1" x14ac:dyDescent="0.3"/>
    <row r="30" spans="1:13" ht="18" customHeight="1" x14ac:dyDescent="0.3"/>
    <row r="31" spans="1:13" ht="18" customHeight="1" x14ac:dyDescent="0.3"/>
    <row r="32" spans="1:13" ht="18" customHeight="1" x14ac:dyDescent="0.3"/>
    <row r="33" ht="18" customHeight="1" x14ac:dyDescent="0.3"/>
    <row r="34" ht="18" customHeight="1" x14ac:dyDescent="0.3"/>
    <row r="35" ht="18" customHeight="1" x14ac:dyDescent="0.3"/>
    <row r="36" ht="18" customHeight="1" x14ac:dyDescent="0.3"/>
    <row r="37" ht="18" customHeight="1" x14ac:dyDescent="0.3"/>
    <row r="38" ht="18" customHeight="1" x14ac:dyDescent="0.3"/>
    <row r="39" ht="18" customHeight="1" x14ac:dyDescent="0.3"/>
    <row r="40" ht="18" customHeight="1" x14ac:dyDescent="0.3"/>
    <row r="41" ht="18" customHeight="1" x14ac:dyDescent="0.3"/>
    <row r="42" ht="18" customHeight="1" x14ac:dyDescent="0.3"/>
    <row r="43" ht="18" customHeight="1" x14ac:dyDescent="0.3"/>
    <row r="44" ht="18" customHeight="1" x14ac:dyDescent="0.3"/>
    <row r="45" ht="18" customHeight="1" x14ac:dyDescent="0.3"/>
    <row r="46" ht="18" customHeight="1" x14ac:dyDescent="0.3"/>
    <row r="47" ht="18" customHeight="1" x14ac:dyDescent="0.3"/>
    <row r="48" ht="18" customHeight="1" x14ac:dyDescent="0.3"/>
    <row r="49" ht="18" customHeight="1" x14ac:dyDescent="0.3"/>
    <row r="50" ht="18" customHeight="1" x14ac:dyDescent="0.3"/>
    <row r="51" ht="18" customHeight="1" x14ac:dyDescent="0.3"/>
    <row r="52" ht="18" customHeight="1" x14ac:dyDescent="0.3"/>
    <row r="53" ht="18" customHeight="1" x14ac:dyDescent="0.3"/>
    <row r="54" ht="18" customHeight="1" x14ac:dyDescent="0.3"/>
    <row r="55" ht="18" customHeight="1" x14ac:dyDescent="0.3"/>
    <row r="56" ht="18" customHeight="1" x14ac:dyDescent="0.3"/>
    <row r="57" ht="18" customHeight="1" x14ac:dyDescent="0.3"/>
    <row r="58" ht="18" customHeight="1" x14ac:dyDescent="0.3"/>
    <row r="59" ht="18" customHeight="1" x14ac:dyDescent="0.3"/>
    <row r="60" ht="18" customHeight="1" x14ac:dyDescent="0.3"/>
    <row r="61" ht="18" customHeight="1" x14ac:dyDescent="0.3"/>
    <row r="62" ht="18" customHeight="1" x14ac:dyDescent="0.3"/>
    <row r="63" ht="18" customHeight="1" x14ac:dyDescent="0.3"/>
    <row r="64" ht="18" customHeight="1" x14ac:dyDescent="0.3"/>
    <row r="65" ht="18" customHeight="1" x14ac:dyDescent="0.3"/>
    <row r="66" ht="18" customHeight="1" x14ac:dyDescent="0.3"/>
    <row r="67" ht="18" customHeight="1" x14ac:dyDescent="0.3"/>
    <row r="68" ht="18" customHeight="1" x14ac:dyDescent="0.3"/>
    <row r="69" ht="18" customHeight="1" x14ac:dyDescent="0.3"/>
    <row r="70" ht="18" customHeight="1" x14ac:dyDescent="0.3"/>
    <row r="71" ht="18" customHeight="1" x14ac:dyDescent="0.3"/>
    <row r="72" ht="18" customHeight="1" x14ac:dyDescent="0.3"/>
    <row r="73" ht="18" customHeight="1" x14ac:dyDescent="0.3"/>
    <row r="74" ht="18" customHeight="1" x14ac:dyDescent="0.3"/>
    <row r="75" ht="18" customHeight="1" x14ac:dyDescent="0.3"/>
    <row r="76" ht="18" customHeight="1" x14ac:dyDescent="0.3"/>
    <row r="77" ht="18" customHeight="1" x14ac:dyDescent="0.3"/>
    <row r="78" ht="18" customHeight="1" x14ac:dyDescent="0.3"/>
    <row r="79" ht="18" customHeight="1" x14ac:dyDescent="0.3"/>
    <row r="80" ht="18" customHeight="1" x14ac:dyDescent="0.3"/>
    <row r="81" ht="18" customHeight="1" x14ac:dyDescent="0.3"/>
    <row r="82" ht="18" customHeight="1" x14ac:dyDescent="0.3"/>
    <row r="83" ht="18" customHeight="1" x14ac:dyDescent="0.3"/>
    <row r="84" ht="18" customHeight="1" x14ac:dyDescent="0.3"/>
    <row r="85" ht="18" customHeight="1" x14ac:dyDescent="0.3"/>
    <row r="86" ht="18" customHeight="1" x14ac:dyDescent="0.3"/>
    <row r="87" ht="18" customHeight="1" x14ac:dyDescent="0.3"/>
    <row r="88" ht="18" customHeight="1" x14ac:dyDescent="0.3"/>
    <row r="89" ht="18" customHeight="1" x14ac:dyDescent="0.3"/>
    <row r="90" ht="18" customHeight="1" x14ac:dyDescent="0.3"/>
    <row r="91" ht="18" customHeight="1" x14ac:dyDescent="0.3"/>
    <row r="92" ht="18" customHeight="1" x14ac:dyDescent="0.3"/>
    <row r="93" ht="18" customHeight="1" x14ac:dyDescent="0.3"/>
    <row r="94" ht="18" customHeight="1" x14ac:dyDescent="0.3"/>
    <row r="95" ht="18" customHeight="1" x14ac:dyDescent="0.3"/>
    <row r="96" ht="18" customHeight="1" x14ac:dyDescent="0.3"/>
    <row r="97" ht="18" customHeight="1" x14ac:dyDescent="0.3"/>
    <row r="98" ht="18" customHeight="1" x14ac:dyDescent="0.3"/>
    <row r="99" ht="18" customHeight="1" x14ac:dyDescent="0.3"/>
    <row r="100" ht="18" customHeight="1" x14ac:dyDescent="0.3"/>
    <row r="101" ht="18" customHeight="1" x14ac:dyDescent="0.3"/>
    <row r="102" ht="18" customHeight="1" x14ac:dyDescent="0.3"/>
    <row r="103" ht="18" customHeight="1" x14ac:dyDescent="0.3"/>
    <row r="104" ht="18" customHeight="1" x14ac:dyDescent="0.3"/>
    <row r="105" ht="18" customHeight="1" x14ac:dyDescent="0.3"/>
    <row r="106" ht="18" customHeight="1" x14ac:dyDescent="0.3"/>
    <row r="107" ht="18" customHeight="1" x14ac:dyDescent="0.3"/>
    <row r="108" ht="18" customHeight="1" x14ac:dyDescent="0.3"/>
    <row r="109" ht="18" customHeight="1" x14ac:dyDescent="0.3"/>
    <row r="110" ht="18" customHeight="1" x14ac:dyDescent="0.3"/>
    <row r="111" ht="18" customHeight="1" x14ac:dyDescent="0.3"/>
    <row r="112" ht="18" customHeight="1" x14ac:dyDescent="0.3"/>
    <row r="113" ht="18" customHeight="1" x14ac:dyDescent="0.3"/>
    <row r="114" ht="18" customHeight="1" x14ac:dyDescent="0.3"/>
    <row r="115" ht="18" customHeight="1" x14ac:dyDescent="0.3"/>
    <row r="116" ht="18" customHeight="1" x14ac:dyDescent="0.3"/>
    <row r="117" ht="18" customHeight="1" x14ac:dyDescent="0.3"/>
    <row r="118" ht="18" customHeight="1" x14ac:dyDescent="0.3"/>
    <row r="119" ht="18" customHeight="1" x14ac:dyDescent="0.3"/>
    <row r="120" ht="18" customHeight="1" x14ac:dyDescent="0.3"/>
    <row r="121" ht="18" customHeight="1" x14ac:dyDescent="0.3"/>
    <row r="122" ht="18" customHeight="1" x14ac:dyDescent="0.3"/>
    <row r="123" ht="18" customHeight="1" x14ac:dyDescent="0.3"/>
    <row r="124" ht="18" customHeight="1" x14ac:dyDescent="0.3"/>
    <row r="125" ht="18" customHeight="1" x14ac:dyDescent="0.3"/>
    <row r="126" ht="18" customHeight="1" x14ac:dyDescent="0.3"/>
    <row r="127" ht="18" customHeight="1" x14ac:dyDescent="0.3"/>
    <row r="128" ht="18" customHeight="1" x14ac:dyDescent="0.3"/>
    <row r="129" ht="18" customHeight="1" x14ac:dyDescent="0.3"/>
    <row r="130" ht="18" customHeight="1" x14ac:dyDescent="0.3"/>
    <row r="131" ht="18" customHeight="1" x14ac:dyDescent="0.3"/>
    <row r="132" ht="18" customHeight="1" x14ac:dyDescent="0.3"/>
    <row r="133" ht="18" customHeight="1" x14ac:dyDescent="0.3"/>
    <row r="134" ht="18" customHeight="1" x14ac:dyDescent="0.3"/>
    <row r="135" ht="18" customHeight="1" x14ac:dyDescent="0.3"/>
    <row r="136" ht="18" customHeight="1" x14ac:dyDescent="0.3"/>
    <row r="137" ht="18" customHeight="1" x14ac:dyDescent="0.3"/>
    <row r="138" ht="18" customHeight="1" x14ac:dyDescent="0.3"/>
    <row r="139" ht="18" customHeight="1" x14ac:dyDescent="0.3"/>
    <row r="140" ht="18" customHeight="1" x14ac:dyDescent="0.3"/>
    <row r="141" ht="18" customHeight="1" x14ac:dyDescent="0.3"/>
    <row r="142" ht="18" customHeight="1" x14ac:dyDescent="0.3"/>
    <row r="143" ht="18" customHeight="1" x14ac:dyDescent="0.3"/>
    <row r="144" ht="18" customHeight="1" x14ac:dyDescent="0.3"/>
    <row r="145" ht="18" customHeight="1" x14ac:dyDescent="0.3"/>
    <row r="146" ht="18" customHeight="1" x14ac:dyDescent="0.3"/>
    <row r="147" ht="18" customHeight="1" x14ac:dyDescent="0.3"/>
    <row r="148" ht="18" customHeight="1" x14ac:dyDescent="0.3"/>
    <row r="149" ht="18" customHeight="1" x14ac:dyDescent="0.3"/>
    <row r="150" ht="18" customHeight="1" x14ac:dyDescent="0.3"/>
    <row r="151" ht="18" customHeight="1" x14ac:dyDescent="0.3"/>
    <row r="152" ht="18" customHeight="1" x14ac:dyDescent="0.3"/>
    <row r="153" ht="18" customHeight="1" x14ac:dyDescent="0.3"/>
    <row r="154" ht="18" customHeight="1" x14ac:dyDescent="0.3"/>
    <row r="155" ht="18" customHeight="1" x14ac:dyDescent="0.3"/>
    <row r="156" ht="18" customHeight="1" x14ac:dyDescent="0.3"/>
    <row r="157" ht="18" customHeight="1" x14ac:dyDescent="0.3"/>
    <row r="158" ht="18" customHeight="1" x14ac:dyDescent="0.3"/>
    <row r="159" ht="18" customHeight="1" x14ac:dyDescent="0.3"/>
    <row r="160" ht="18" customHeight="1" x14ac:dyDescent="0.3"/>
    <row r="161" ht="18" customHeight="1" x14ac:dyDescent="0.3"/>
    <row r="162" ht="18" customHeight="1" x14ac:dyDescent="0.3"/>
    <row r="163" ht="18" customHeight="1" x14ac:dyDescent="0.3"/>
    <row r="164" ht="18" customHeight="1" x14ac:dyDescent="0.3"/>
    <row r="165" ht="18" customHeight="1" x14ac:dyDescent="0.3"/>
    <row r="166" ht="18" customHeight="1" x14ac:dyDescent="0.3"/>
    <row r="167" ht="18" customHeight="1" x14ac:dyDescent="0.3"/>
    <row r="168" ht="18" customHeight="1" x14ac:dyDescent="0.3"/>
    <row r="169" ht="18" customHeight="1" x14ac:dyDescent="0.3"/>
    <row r="170" ht="18" customHeight="1" x14ac:dyDescent="0.3"/>
    <row r="171" ht="18" customHeight="1" x14ac:dyDescent="0.3"/>
    <row r="172" ht="18" customHeight="1" x14ac:dyDescent="0.3"/>
    <row r="173" ht="18" customHeight="1" x14ac:dyDescent="0.3"/>
    <row r="174" ht="18" customHeight="1" x14ac:dyDescent="0.3"/>
    <row r="175" ht="18" customHeight="1" x14ac:dyDescent="0.3"/>
    <row r="176" ht="18" customHeight="1" x14ac:dyDescent="0.3"/>
    <row r="177" ht="18" customHeight="1" x14ac:dyDescent="0.3"/>
    <row r="178" ht="18" customHeight="1" x14ac:dyDescent="0.3"/>
    <row r="179" ht="18" customHeight="1" x14ac:dyDescent="0.3"/>
    <row r="180" ht="18" customHeight="1" x14ac:dyDescent="0.3"/>
    <row r="181" ht="18" customHeight="1" x14ac:dyDescent="0.3"/>
    <row r="182" ht="18" customHeight="1" x14ac:dyDescent="0.3"/>
    <row r="183" ht="18" customHeight="1" x14ac:dyDescent="0.3"/>
    <row r="184" ht="18" customHeight="1" x14ac:dyDescent="0.3"/>
    <row r="185" ht="18" customHeight="1" x14ac:dyDescent="0.3"/>
    <row r="186" ht="18" customHeight="1" x14ac:dyDescent="0.3"/>
    <row r="187" ht="18" customHeight="1" x14ac:dyDescent="0.3"/>
    <row r="188" ht="18" customHeight="1" x14ac:dyDescent="0.3"/>
    <row r="189" ht="18" customHeight="1" x14ac:dyDescent="0.3"/>
    <row r="190" ht="18" customHeight="1" x14ac:dyDescent="0.3"/>
    <row r="191" ht="18" customHeight="1" x14ac:dyDescent="0.3"/>
    <row r="192" ht="18" customHeight="1" x14ac:dyDescent="0.3"/>
    <row r="193" ht="18" customHeight="1" x14ac:dyDescent="0.3"/>
    <row r="194" ht="18" customHeight="1" x14ac:dyDescent="0.3"/>
    <row r="195" ht="18" customHeight="1" x14ac:dyDescent="0.3"/>
    <row r="196" ht="18" customHeight="1" x14ac:dyDescent="0.3"/>
    <row r="197" ht="18" customHeight="1" x14ac:dyDescent="0.3"/>
    <row r="198" ht="18" customHeight="1" x14ac:dyDescent="0.3"/>
    <row r="199" ht="18" customHeight="1" x14ac:dyDescent="0.3"/>
    <row r="200" ht="18" customHeight="1" x14ac:dyDescent="0.3"/>
    <row r="201" ht="18" customHeight="1" x14ac:dyDescent="0.3"/>
    <row r="202" ht="18" customHeight="1" x14ac:dyDescent="0.3"/>
    <row r="203" ht="18" customHeight="1" x14ac:dyDescent="0.3"/>
    <row r="204" ht="18" customHeight="1" x14ac:dyDescent="0.3"/>
    <row r="205" ht="18" customHeight="1" x14ac:dyDescent="0.3"/>
    <row r="206" ht="18" customHeight="1" x14ac:dyDescent="0.3"/>
    <row r="207" ht="18" customHeight="1" x14ac:dyDescent="0.3"/>
    <row r="208" ht="18" customHeight="1" x14ac:dyDescent="0.3"/>
    <row r="209" ht="18" customHeight="1" x14ac:dyDescent="0.3"/>
    <row r="210" ht="18" customHeight="1" x14ac:dyDescent="0.3"/>
    <row r="211" ht="18" customHeight="1" x14ac:dyDescent="0.3"/>
    <row r="212" ht="18" customHeight="1" x14ac:dyDescent="0.3"/>
    <row r="213" ht="18" customHeight="1" x14ac:dyDescent="0.3"/>
    <row r="214" ht="18" customHeight="1" x14ac:dyDescent="0.3"/>
    <row r="215" ht="18" customHeight="1" x14ac:dyDescent="0.3"/>
    <row r="216" ht="18" customHeight="1" x14ac:dyDescent="0.3"/>
    <row r="217" ht="18" customHeight="1" x14ac:dyDescent="0.3"/>
    <row r="218" ht="18" customHeight="1" x14ac:dyDescent="0.3"/>
    <row r="219" ht="18" customHeight="1" x14ac:dyDescent="0.3"/>
    <row r="220" ht="18" customHeight="1" x14ac:dyDescent="0.3"/>
    <row r="221" ht="18" customHeight="1" x14ac:dyDescent="0.3"/>
    <row r="222" ht="18" customHeight="1" x14ac:dyDescent="0.3"/>
    <row r="223" ht="18" customHeight="1" x14ac:dyDescent="0.3"/>
    <row r="224" ht="18" customHeight="1" x14ac:dyDescent="0.3"/>
    <row r="225" ht="18" customHeight="1" x14ac:dyDescent="0.3"/>
    <row r="226" ht="18" customHeight="1" x14ac:dyDescent="0.3"/>
    <row r="227" ht="18" customHeight="1" x14ac:dyDescent="0.3"/>
    <row r="228" ht="18" customHeight="1" x14ac:dyDescent="0.3"/>
    <row r="229" ht="18" customHeight="1" x14ac:dyDescent="0.3"/>
    <row r="230" ht="18" customHeight="1" x14ac:dyDescent="0.3"/>
    <row r="231" ht="18" customHeight="1" x14ac:dyDescent="0.3"/>
    <row r="232" ht="18" customHeight="1" x14ac:dyDescent="0.3"/>
    <row r="233" ht="18" customHeight="1" x14ac:dyDescent="0.3"/>
    <row r="234" ht="18" customHeight="1" x14ac:dyDescent="0.3"/>
    <row r="235" ht="18" customHeight="1" x14ac:dyDescent="0.3"/>
    <row r="236" ht="18" customHeight="1" x14ac:dyDescent="0.3"/>
    <row r="237" ht="18" customHeight="1" x14ac:dyDescent="0.3"/>
    <row r="238" ht="18" customHeight="1" x14ac:dyDescent="0.3"/>
    <row r="239" ht="18" customHeight="1" x14ac:dyDescent="0.3"/>
    <row r="240" ht="18" customHeight="1" x14ac:dyDescent="0.3"/>
    <row r="241" ht="18" customHeight="1" x14ac:dyDescent="0.3"/>
    <row r="242" ht="18" customHeight="1" x14ac:dyDescent="0.3"/>
    <row r="243" ht="18" customHeight="1" x14ac:dyDescent="0.3"/>
    <row r="244" ht="18" customHeight="1" x14ac:dyDescent="0.3"/>
    <row r="245" ht="18" customHeight="1" x14ac:dyDescent="0.3"/>
    <row r="246" ht="18" customHeight="1" x14ac:dyDescent="0.3"/>
    <row r="247" ht="18" customHeight="1" x14ac:dyDescent="0.3"/>
    <row r="248" ht="18" customHeight="1" x14ac:dyDescent="0.3"/>
    <row r="249" ht="18" customHeight="1" x14ac:dyDescent="0.3"/>
    <row r="250" ht="18" customHeight="1" x14ac:dyDescent="0.3"/>
    <row r="251" ht="18" customHeight="1" x14ac:dyDescent="0.3"/>
    <row r="252" ht="18" customHeight="1" x14ac:dyDescent="0.3"/>
    <row r="253" ht="18" customHeight="1" x14ac:dyDescent="0.3"/>
    <row r="254" ht="18" customHeight="1" x14ac:dyDescent="0.3"/>
    <row r="255" ht="18" customHeight="1" x14ac:dyDescent="0.3"/>
    <row r="256" ht="18" customHeight="1" x14ac:dyDescent="0.3"/>
    <row r="257" ht="18" customHeight="1" x14ac:dyDescent="0.3"/>
    <row r="258" ht="18" customHeight="1" x14ac:dyDescent="0.3"/>
    <row r="259" ht="18" customHeight="1" x14ac:dyDescent="0.3"/>
    <row r="260" ht="18" customHeight="1" x14ac:dyDescent="0.3"/>
    <row r="261" ht="18" customHeight="1" x14ac:dyDescent="0.3"/>
    <row r="262" ht="18" customHeight="1" x14ac:dyDescent="0.3"/>
    <row r="263" ht="18" customHeight="1" x14ac:dyDescent="0.3"/>
    <row r="264" ht="18" customHeight="1" x14ac:dyDescent="0.3"/>
    <row r="265" ht="18" customHeight="1" x14ac:dyDescent="0.3"/>
    <row r="266" ht="18" customHeight="1" x14ac:dyDescent="0.3"/>
    <row r="267" ht="18" customHeight="1" x14ac:dyDescent="0.3"/>
    <row r="268" ht="18" customHeight="1" x14ac:dyDescent="0.3"/>
    <row r="269" ht="18" customHeight="1" x14ac:dyDescent="0.3"/>
    <row r="270" ht="18" customHeight="1" x14ac:dyDescent="0.3"/>
    <row r="271" ht="18" customHeight="1" x14ac:dyDescent="0.3"/>
    <row r="272" ht="18" customHeight="1" x14ac:dyDescent="0.3"/>
    <row r="273" ht="18" customHeight="1" x14ac:dyDescent="0.3"/>
    <row r="274" ht="18" customHeight="1" x14ac:dyDescent="0.3"/>
    <row r="275" ht="18" customHeight="1" x14ac:dyDescent="0.3"/>
    <row r="276" ht="18" customHeight="1" x14ac:dyDescent="0.3"/>
    <row r="277" ht="18" customHeight="1" x14ac:dyDescent="0.3"/>
    <row r="278" ht="18" customHeight="1" x14ac:dyDescent="0.3"/>
    <row r="279" ht="18" customHeight="1" x14ac:dyDescent="0.3"/>
    <row r="280" ht="18" customHeight="1" x14ac:dyDescent="0.3"/>
    <row r="281" ht="18" customHeight="1" x14ac:dyDescent="0.3"/>
    <row r="282" ht="18" customHeight="1" x14ac:dyDescent="0.3"/>
    <row r="283" ht="18" customHeight="1" x14ac:dyDescent="0.3"/>
    <row r="284" ht="18" customHeight="1" x14ac:dyDescent="0.3"/>
    <row r="285" ht="18" customHeight="1" x14ac:dyDescent="0.3"/>
    <row r="286" ht="18" customHeight="1" x14ac:dyDescent="0.3"/>
    <row r="287" ht="18" customHeight="1" x14ac:dyDescent="0.3"/>
    <row r="288" ht="18" customHeight="1" x14ac:dyDescent="0.3"/>
    <row r="289" ht="18" customHeight="1" x14ac:dyDescent="0.3"/>
    <row r="290" ht="18" customHeight="1" x14ac:dyDescent="0.3"/>
    <row r="291" ht="18" customHeight="1" x14ac:dyDescent="0.3"/>
    <row r="292" ht="18" customHeight="1" x14ac:dyDescent="0.3"/>
    <row r="293" ht="18" customHeight="1" x14ac:dyDescent="0.3"/>
    <row r="294" ht="18" customHeight="1" x14ac:dyDescent="0.3"/>
    <row r="295" ht="18" customHeight="1" x14ac:dyDescent="0.3"/>
    <row r="296" ht="18" customHeight="1" x14ac:dyDescent="0.3"/>
    <row r="297" ht="18" customHeight="1" x14ac:dyDescent="0.3"/>
    <row r="298" ht="18" customHeight="1" x14ac:dyDescent="0.3"/>
    <row r="299" ht="18" customHeight="1" x14ac:dyDescent="0.3"/>
    <row r="300" ht="18" customHeight="1" x14ac:dyDescent="0.3"/>
    <row r="301" ht="18" customHeight="1" x14ac:dyDescent="0.3"/>
    <row r="302" ht="18" customHeight="1" x14ac:dyDescent="0.3"/>
    <row r="303" ht="18" customHeight="1" x14ac:dyDescent="0.3"/>
    <row r="304" ht="18" customHeight="1" x14ac:dyDescent="0.3"/>
    <row r="305" ht="18" customHeight="1" x14ac:dyDescent="0.3"/>
    <row r="306" ht="18" customHeight="1" x14ac:dyDescent="0.3"/>
    <row r="307" ht="18" customHeight="1" x14ac:dyDescent="0.3"/>
    <row r="308" ht="18" customHeight="1" x14ac:dyDescent="0.3"/>
    <row r="309" ht="18" customHeight="1" x14ac:dyDescent="0.3"/>
    <row r="310" ht="18" customHeight="1" x14ac:dyDescent="0.3"/>
    <row r="311" ht="18" customHeight="1" x14ac:dyDescent="0.3"/>
    <row r="312" ht="18" customHeight="1" x14ac:dyDescent="0.3"/>
    <row r="313" ht="18" customHeight="1" x14ac:dyDescent="0.3"/>
    <row r="314" ht="18" customHeight="1" x14ac:dyDescent="0.3"/>
    <row r="315" ht="18" customHeight="1" x14ac:dyDescent="0.3"/>
    <row r="316" ht="18" customHeight="1" x14ac:dyDescent="0.3"/>
    <row r="317" ht="18" customHeight="1" x14ac:dyDescent="0.3"/>
    <row r="318" ht="18" customHeight="1" x14ac:dyDescent="0.3"/>
    <row r="319" ht="18" customHeight="1" x14ac:dyDescent="0.3"/>
    <row r="320" ht="18" customHeight="1" x14ac:dyDescent="0.3"/>
    <row r="321" ht="18" customHeight="1" x14ac:dyDescent="0.3"/>
    <row r="322" ht="18" customHeight="1" x14ac:dyDescent="0.3"/>
    <row r="323" ht="18" customHeight="1" x14ac:dyDescent="0.3"/>
    <row r="324" ht="18" customHeight="1" x14ac:dyDescent="0.3"/>
    <row r="325" ht="18" customHeight="1" x14ac:dyDescent="0.3"/>
    <row r="326" ht="18" customHeight="1" x14ac:dyDescent="0.3"/>
    <row r="327" ht="18" customHeight="1" x14ac:dyDescent="0.3"/>
    <row r="328" ht="18" customHeight="1" x14ac:dyDescent="0.3"/>
    <row r="329" ht="18" customHeight="1" x14ac:dyDescent="0.3"/>
    <row r="330" ht="18" customHeight="1" x14ac:dyDescent="0.3"/>
    <row r="331" ht="18" customHeight="1" x14ac:dyDescent="0.3"/>
    <row r="332" ht="18" customHeight="1" x14ac:dyDescent="0.3"/>
    <row r="333" ht="18" customHeight="1" x14ac:dyDescent="0.3"/>
    <row r="334" ht="18" customHeight="1" x14ac:dyDescent="0.3"/>
    <row r="335" ht="18" customHeight="1" x14ac:dyDescent="0.3"/>
    <row r="336" ht="18" customHeight="1" x14ac:dyDescent="0.3"/>
    <row r="337" ht="18" customHeight="1" x14ac:dyDescent="0.3"/>
    <row r="338" ht="18" customHeight="1" x14ac:dyDescent="0.3"/>
    <row r="339" ht="18" customHeight="1" x14ac:dyDescent="0.3"/>
    <row r="340" ht="18" customHeight="1" x14ac:dyDescent="0.3"/>
    <row r="341" ht="18" customHeight="1" x14ac:dyDescent="0.3"/>
    <row r="342" ht="18" customHeight="1" x14ac:dyDescent="0.3"/>
    <row r="343" ht="18" customHeight="1" x14ac:dyDescent="0.3"/>
    <row r="344" ht="18" customHeight="1" x14ac:dyDescent="0.3"/>
    <row r="345" ht="18" customHeight="1" x14ac:dyDescent="0.3"/>
    <row r="346" ht="18" customHeight="1" x14ac:dyDescent="0.3"/>
    <row r="347" ht="18" customHeight="1" x14ac:dyDescent="0.3"/>
    <row r="348" ht="18" customHeight="1" x14ac:dyDescent="0.3"/>
    <row r="349" ht="18" customHeight="1" x14ac:dyDescent="0.3"/>
    <row r="350" ht="18" customHeight="1" x14ac:dyDescent="0.3"/>
    <row r="351" ht="18" customHeight="1" x14ac:dyDescent="0.3"/>
    <row r="352" ht="18" customHeight="1" x14ac:dyDescent="0.3"/>
    <row r="353" ht="18" customHeight="1" x14ac:dyDescent="0.3"/>
    <row r="354" ht="18" customHeight="1" x14ac:dyDescent="0.3"/>
    <row r="355" ht="18" customHeight="1" x14ac:dyDescent="0.3"/>
    <row r="356" ht="18" customHeight="1" x14ac:dyDescent="0.3"/>
    <row r="357" ht="18" customHeight="1" x14ac:dyDescent="0.3"/>
    <row r="358" ht="18" customHeight="1" x14ac:dyDescent="0.3"/>
    <row r="359" ht="18" customHeight="1" x14ac:dyDescent="0.3"/>
    <row r="360" ht="18" customHeight="1" x14ac:dyDescent="0.3"/>
    <row r="361" ht="18" customHeight="1" x14ac:dyDescent="0.3"/>
    <row r="362" ht="18" customHeight="1" x14ac:dyDescent="0.3"/>
    <row r="363" ht="18" customHeight="1" x14ac:dyDescent="0.3"/>
    <row r="364" ht="18" customHeight="1" x14ac:dyDescent="0.3"/>
    <row r="365" ht="18" customHeight="1" x14ac:dyDescent="0.3"/>
    <row r="366" ht="18" customHeight="1" x14ac:dyDescent="0.3"/>
    <row r="367" ht="18" customHeight="1" x14ac:dyDescent="0.3"/>
    <row r="368" ht="18" customHeight="1" x14ac:dyDescent="0.3"/>
    <row r="369" ht="18" customHeight="1" x14ac:dyDescent="0.3"/>
    <row r="370" ht="18" customHeight="1" x14ac:dyDescent="0.3"/>
    <row r="371" ht="18" customHeight="1" x14ac:dyDescent="0.3"/>
    <row r="372" ht="18" customHeight="1" x14ac:dyDescent="0.3"/>
    <row r="373" ht="18" customHeight="1" x14ac:dyDescent="0.3"/>
    <row r="374" ht="18" customHeight="1" x14ac:dyDescent="0.3"/>
    <row r="375" ht="18" customHeight="1" x14ac:dyDescent="0.3"/>
    <row r="376" ht="18" customHeight="1" x14ac:dyDescent="0.3"/>
    <row r="377" ht="18" customHeight="1" x14ac:dyDescent="0.3"/>
    <row r="378" ht="18" customHeight="1" x14ac:dyDescent="0.3"/>
    <row r="379" ht="18" customHeight="1" x14ac:dyDescent="0.3"/>
    <row r="380" ht="18" customHeight="1" x14ac:dyDescent="0.3"/>
    <row r="381" ht="18" customHeight="1" x14ac:dyDescent="0.3"/>
    <row r="382" ht="18" customHeight="1" x14ac:dyDescent="0.3"/>
    <row r="383" ht="18" customHeight="1" x14ac:dyDescent="0.3"/>
    <row r="384" ht="18" customHeight="1" x14ac:dyDescent="0.3"/>
    <row r="385" ht="18" customHeight="1" x14ac:dyDescent="0.3"/>
    <row r="386" ht="18" customHeight="1" x14ac:dyDescent="0.3"/>
    <row r="387" ht="18" customHeight="1" x14ac:dyDescent="0.3"/>
    <row r="388" ht="18" customHeight="1" x14ac:dyDescent="0.3"/>
    <row r="389" ht="18" customHeight="1" x14ac:dyDescent="0.3"/>
    <row r="390" ht="18" customHeight="1" x14ac:dyDescent="0.3"/>
    <row r="391" ht="18" customHeight="1" x14ac:dyDescent="0.3"/>
    <row r="392" ht="18" customHeight="1" x14ac:dyDescent="0.3"/>
    <row r="393" ht="18" customHeight="1" x14ac:dyDescent="0.3"/>
    <row r="394" ht="18" customHeight="1" x14ac:dyDescent="0.3"/>
    <row r="395" ht="18" customHeight="1" x14ac:dyDescent="0.3"/>
    <row r="396" ht="18" customHeight="1" x14ac:dyDescent="0.3"/>
    <row r="397" ht="18" customHeight="1" x14ac:dyDescent="0.3"/>
    <row r="398" ht="18" customHeight="1" x14ac:dyDescent="0.3"/>
    <row r="399" ht="18" customHeight="1" x14ac:dyDescent="0.3"/>
    <row r="400" ht="18" customHeight="1" x14ac:dyDescent="0.3"/>
    <row r="401" ht="18" customHeight="1" x14ac:dyDescent="0.3"/>
    <row r="402" ht="18" customHeight="1" x14ac:dyDescent="0.3"/>
    <row r="403" ht="18" customHeight="1" x14ac:dyDescent="0.3"/>
    <row r="404" ht="18" customHeight="1" x14ac:dyDescent="0.3"/>
    <row r="405" ht="18" customHeight="1" x14ac:dyDescent="0.3"/>
    <row r="406" ht="18" customHeight="1" x14ac:dyDescent="0.3"/>
    <row r="407" ht="18" customHeight="1" x14ac:dyDescent="0.3"/>
    <row r="408" ht="18" customHeight="1" x14ac:dyDescent="0.3"/>
    <row r="409" ht="18" customHeight="1" x14ac:dyDescent="0.3"/>
    <row r="410" ht="18" customHeight="1" x14ac:dyDescent="0.3"/>
    <row r="411" ht="18" customHeight="1" x14ac:dyDescent="0.3"/>
    <row r="412" ht="18" customHeight="1" x14ac:dyDescent="0.3"/>
    <row r="413" ht="18" customHeight="1" x14ac:dyDescent="0.3"/>
    <row r="414" ht="18" customHeight="1" x14ac:dyDescent="0.3"/>
    <row r="415" ht="18" customHeight="1" x14ac:dyDescent="0.3"/>
    <row r="416" ht="18" customHeight="1" x14ac:dyDescent="0.3"/>
    <row r="417" ht="18" customHeight="1" x14ac:dyDescent="0.3"/>
    <row r="418" ht="18" customHeight="1" x14ac:dyDescent="0.3"/>
    <row r="419" ht="18" customHeight="1" x14ac:dyDescent="0.3"/>
    <row r="420" ht="18" customHeight="1" x14ac:dyDescent="0.3"/>
    <row r="421" ht="18" customHeight="1" x14ac:dyDescent="0.3"/>
    <row r="422" ht="18" customHeight="1" x14ac:dyDescent="0.3"/>
    <row r="423" ht="18" customHeight="1" x14ac:dyDescent="0.3"/>
    <row r="424" ht="18" customHeight="1" x14ac:dyDescent="0.3"/>
    <row r="425" ht="18" customHeight="1" x14ac:dyDescent="0.3"/>
    <row r="426" ht="18" customHeight="1" x14ac:dyDescent="0.3"/>
    <row r="427" ht="18" customHeight="1" x14ac:dyDescent="0.3"/>
    <row r="428" ht="18" customHeight="1" x14ac:dyDescent="0.3"/>
    <row r="429" ht="18" customHeight="1" x14ac:dyDescent="0.3"/>
    <row r="430" ht="18" customHeight="1" x14ac:dyDescent="0.3"/>
    <row r="431" ht="18" customHeight="1" x14ac:dyDescent="0.3"/>
    <row r="432" ht="18" customHeight="1" x14ac:dyDescent="0.3"/>
    <row r="433" ht="18" customHeight="1" x14ac:dyDescent="0.3"/>
    <row r="434" ht="18" customHeight="1" x14ac:dyDescent="0.3"/>
    <row r="435" ht="18" customHeight="1" x14ac:dyDescent="0.3"/>
    <row r="436" ht="18" customHeight="1" x14ac:dyDescent="0.3"/>
    <row r="437" ht="18" customHeight="1" x14ac:dyDescent="0.3"/>
    <row r="438" ht="18" customHeight="1" x14ac:dyDescent="0.3"/>
    <row r="439" ht="18" customHeight="1" x14ac:dyDescent="0.3"/>
    <row r="440" ht="18" customHeight="1" x14ac:dyDescent="0.3"/>
    <row r="441" ht="18" customHeight="1" x14ac:dyDescent="0.3"/>
    <row r="442" ht="18" customHeight="1" x14ac:dyDescent="0.3"/>
    <row r="443" ht="18" customHeight="1" x14ac:dyDescent="0.3"/>
    <row r="444" ht="18" customHeight="1" x14ac:dyDescent="0.3"/>
    <row r="445" ht="18" customHeight="1" x14ac:dyDescent="0.3"/>
    <row r="446" ht="18" customHeight="1" x14ac:dyDescent="0.3"/>
    <row r="447" ht="18" customHeight="1" x14ac:dyDescent="0.3"/>
    <row r="448" ht="18" customHeight="1" x14ac:dyDescent="0.3"/>
    <row r="449" ht="18" customHeight="1" x14ac:dyDescent="0.3"/>
    <row r="450" ht="18" customHeight="1" x14ac:dyDescent="0.3"/>
    <row r="451" ht="18" customHeight="1" x14ac:dyDescent="0.3"/>
    <row r="452" ht="18" customHeight="1" x14ac:dyDescent="0.3"/>
    <row r="453" ht="18" customHeight="1" x14ac:dyDescent="0.3"/>
    <row r="454" ht="18" customHeight="1" x14ac:dyDescent="0.3"/>
    <row r="455" ht="18" customHeight="1" x14ac:dyDescent="0.3"/>
    <row r="456" ht="18" customHeight="1" x14ac:dyDescent="0.3"/>
    <row r="457" ht="18" customHeight="1" x14ac:dyDescent="0.3"/>
    <row r="458" ht="18" customHeight="1" x14ac:dyDescent="0.3"/>
    <row r="459" ht="18" customHeight="1" x14ac:dyDescent="0.3"/>
    <row r="460" ht="18" customHeight="1" x14ac:dyDescent="0.3"/>
    <row r="461" ht="18" customHeight="1" x14ac:dyDescent="0.3"/>
    <row r="462" ht="18" customHeight="1" x14ac:dyDescent="0.3"/>
    <row r="463" ht="18" customHeight="1" x14ac:dyDescent="0.3"/>
    <row r="464" ht="18" customHeight="1" x14ac:dyDescent="0.3"/>
    <row r="465" ht="18" customHeight="1" x14ac:dyDescent="0.3"/>
    <row r="466" ht="18" customHeight="1" x14ac:dyDescent="0.3"/>
    <row r="467" ht="18" customHeight="1" x14ac:dyDescent="0.3"/>
    <row r="468" ht="18" customHeight="1" x14ac:dyDescent="0.3"/>
    <row r="469" ht="18" customHeight="1" x14ac:dyDescent="0.3"/>
    <row r="470" ht="18" customHeight="1" x14ac:dyDescent="0.3"/>
    <row r="471" ht="18" customHeight="1" x14ac:dyDescent="0.3"/>
    <row r="472" ht="18" customHeight="1" x14ac:dyDescent="0.3"/>
    <row r="473" ht="18" customHeight="1" x14ac:dyDescent="0.3"/>
    <row r="474" ht="18" customHeight="1" x14ac:dyDescent="0.3"/>
    <row r="475" ht="18" customHeight="1" x14ac:dyDescent="0.3"/>
    <row r="476" ht="18" customHeight="1" x14ac:dyDescent="0.3"/>
    <row r="477" ht="18" customHeight="1" x14ac:dyDescent="0.3"/>
    <row r="478" ht="18" customHeight="1" x14ac:dyDescent="0.3"/>
    <row r="479" ht="18" customHeight="1" x14ac:dyDescent="0.3"/>
    <row r="480" ht="18" customHeight="1" x14ac:dyDescent="0.3"/>
    <row r="481" ht="18" customHeight="1" x14ac:dyDescent="0.3"/>
    <row r="482" ht="18" customHeight="1" x14ac:dyDescent="0.3"/>
    <row r="483" ht="18" customHeight="1" x14ac:dyDescent="0.3"/>
    <row r="484" ht="18" customHeight="1" x14ac:dyDescent="0.3"/>
    <row r="485" ht="18" customHeight="1" x14ac:dyDescent="0.3"/>
    <row r="486" ht="18" customHeight="1" x14ac:dyDescent="0.3"/>
    <row r="487" ht="18" customHeight="1" x14ac:dyDescent="0.3"/>
    <row r="488" ht="18" customHeight="1" x14ac:dyDescent="0.3"/>
    <row r="489" ht="18" customHeight="1" x14ac:dyDescent="0.3"/>
    <row r="490" ht="18" customHeight="1" x14ac:dyDescent="0.3"/>
    <row r="491" ht="18" customHeight="1" x14ac:dyDescent="0.3"/>
    <row r="492" ht="18" customHeight="1" x14ac:dyDescent="0.3"/>
    <row r="493" ht="18" customHeight="1" x14ac:dyDescent="0.3"/>
    <row r="494" ht="18" customHeight="1" x14ac:dyDescent="0.3"/>
    <row r="495" ht="18" customHeight="1" x14ac:dyDescent="0.3"/>
    <row r="496" ht="18" customHeight="1" x14ac:dyDescent="0.3"/>
    <row r="497" ht="18" customHeight="1" x14ac:dyDescent="0.3"/>
    <row r="498" ht="18" customHeight="1" x14ac:dyDescent="0.3"/>
    <row r="499" ht="18" customHeight="1" x14ac:dyDescent="0.3"/>
    <row r="500" ht="18" customHeight="1" x14ac:dyDescent="0.3"/>
    <row r="501" ht="18" customHeight="1" x14ac:dyDescent="0.3"/>
    <row r="502" ht="18" customHeight="1" x14ac:dyDescent="0.3"/>
    <row r="503" ht="18" customHeight="1" x14ac:dyDescent="0.3"/>
    <row r="504" ht="18" customHeight="1" x14ac:dyDescent="0.3"/>
    <row r="505" ht="18" customHeight="1" x14ac:dyDescent="0.3"/>
    <row r="506" ht="18" customHeight="1" x14ac:dyDescent="0.3"/>
    <row r="507" ht="18" customHeight="1" x14ac:dyDescent="0.3"/>
    <row r="508" ht="18" customHeight="1" x14ac:dyDescent="0.3"/>
    <row r="509" ht="18" customHeight="1" x14ac:dyDescent="0.3"/>
    <row r="510" ht="18" customHeight="1" x14ac:dyDescent="0.3"/>
    <row r="511" ht="18" customHeight="1" x14ac:dyDescent="0.3"/>
    <row r="512" ht="18" customHeight="1" x14ac:dyDescent="0.3"/>
    <row r="513" ht="18" customHeight="1" x14ac:dyDescent="0.3"/>
    <row r="514" ht="18" customHeight="1" x14ac:dyDescent="0.3"/>
    <row r="515" ht="18" customHeight="1" x14ac:dyDescent="0.3"/>
    <row r="516" ht="18" customHeight="1" x14ac:dyDescent="0.3"/>
    <row r="517" ht="18" customHeight="1" x14ac:dyDescent="0.3"/>
    <row r="518" ht="18" customHeight="1" x14ac:dyDescent="0.3"/>
    <row r="519" ht="18" customHeight="1" x14ac:dyDescent="0.3"/>
    <row r="520" ht="18" customHeight="1" x14ac:dyDescent="0.3"/>
    <row r="521" ht="18" customHeight="1" x14ac:dyDescent="0.3"/>
    <row r="522" ht="18" customHeight="1" x14ac:dyDescent="0.3"/>
    <row r="523" ht="18" customHeight="1" x14ac:dyDescent="0.3"/>
    <row r="524" ht="18" customHeight="1" x14ac:dyDescent="0.3"/>
    <row r="525" ht="18" customHeight="1" x14ac:dyDescent="0.3"/>
    <row r="526" ht="18" customHeight="1" x14ac:dyDescent="0.3"/>
    <row r="527" ht="18" customHeight="1" x14ac:dyDescent="0.3"/>
    <row r="528" ht="18" customHeight="1" x14ac:dyDescent="0.3"/>
    <row r="529" ht="18" customHeight="1" x14ac:dyDescent="0.3"/>
    <row r="530" ht="18" customHeight="1" x14ac:dyDescent="0.3"/>
    <row r="531" ht="18" customHeight="1" x14ac:dyDescent="0.3"/>
    <row r="532" ht="18" customHeight="1" x14ac:dyDescent="0.3"/>
    <row r="533" ht="18" customHeight="1" x14ac:dyDescent="0.3"/>
    <row r="534" ht="18" customHeight="1" x14ac:dyDescent="0.3"/>
    <row r="535" ht="18" customHeight="1" x14ac:dyDescent="0.3"/>
    <row r="536" ht="18" customHeight="1" x14ac:dyDescent="0.3"/>
    <row r="537" ht="18" customHeight="1" x14ac:dyDescent="0.3"/>
    <row r="538" ht="18" customHeight="1" x14ac:dyDescent="0.3"/>
    <row r="539" ht="18" customHeight="1" x14ac:dyDescent="0.3"/>
    <row r="540" ht="18" customHeight="1" x14ac:dyDescent="0.3"/>
    <row r="541" ht="18" customHeight="1" x14ac:dyDescent="0.3"/>
    <row r="542" ht="18" customHeight="1" x14ac:dyDescent="0.3"/>
    <row r="543" ht="18" customHeight="1" x14ac:dyDescent="0.3"/>
    <row r="544" ht="18" customHeight="1" x14ac:dyDescent="0.3"/>
    <row r="545" ht="18" customHeight="1" x14ac:dyDescent="0.3"/>
    <row r="546" ht="18" customHeight="1" x14ac:dyDescent="0.3"/>
    <row r="547" ht="18" customHeight="1" x14ac:dyDescent="0.3"/>
    <row r="548" ht="18" customHeight="1" x14ac:dyDescent="0.3"/>
    <row r="549" ht="18" customHeight="1" x14ac:dyDescent="0.3"/>
    <row r="550" ht="18" customHeight="1" x14ac:dyDescent="0.3"/>
    <row r="551" ht="18" customHeight="1" x14ac:dyDescent="0.3"/>
    <row r="552" ht="18" customHeight="1" x14ac:dyDescent="0.3"/>
    <row r="553" ht="18" customHeight="1" x14ac:dyDescent="0.3"/>
    <row r="554" ht="18" customHeight="1" x14ac:dyDescent="0.3"/>
    <row r="555" ht="18" customHeight="1" x14ac:dyDescent="0.3"/>
    <row r="556" ht="18" customHeight="1" x14ac:dyDescent="0.3"/>
    <row r="557" ht="18" customHeight="1" x14ac:dyDescent="0.3"/>
    <row r="558" ht="18" customHeight="1" x14ac:dyDescent="0.3"/>
    <row r="559" ht="18" customHeight="1" x14ac:dyDescent="0.3"/>
    <row r="560" ht="18" customHeight="1" x14ac:dyDescent="0.3"/>
    <row r="561" ht="18" customHeight="1" x14ac:dyDescent="0.3"/>
    <row r="562" ht="18" customHeight="1" x14ac:dyDescent="0.3"/>
    <row r="563" ht="18" customHeight="1" x14ac:dyDescent="0.3"/>
    <row r="564" ht="18" customHeight="1" x14ac:dyDescent="0.3"/>
    <row r="565" ht="18" customHeight="1" x14ac:dyDescent="0.3"/>
    <row r="566" ht="18" customHeight="1" x14ac:dyDescent="0.3"/>
    <row r="567" ht="18" customHeight="1" x14ac:dyDescent="0.3"/>
    <row r="568" ht="18" customHeight="1" x14ac:dyDescent="0.3"/>
    <row r="569" ht="18" customHeight="1" x14ac:dyDescent="0.3"/>
    <row r="570" ht="18" customHeight="1" x14ac:dyDescent="0.3"/>
    <row r="571" ht="18" customHeight="1" x14ac:dyDescent="0.3"/>
    <row r="572" ht="18" customHeight="1" x14ac:dyDescent="0.3"/>
    <row r="573" ht="18" customHeight="1" x14ac:dyDescent="0.3"/>
    <row r="574" ht="18" customHeight="1" x14ac:dyDescent="0.3"/>
    <row r="575" ht="18" customHeight="1" x14ac:dyDescent="0.3"/>
    <row r="576" ht="18" customHeight="1" x14ac:dyDescent="0.3"/>
    <row r="577" ht="18" customHeight="1" x14ac:dyDescent="0.3"/>
    <row r="578" ht="18" customHeight="1" x14ac:dyDescent="0.3"/>
    <row r="579" ht="18" customHeight="1" x14ac:dyDescent="0.3"/>
    <row r="580" ht="18" customHeight="1" x14ac:dyDescent="0.3"/>
    <row r="581" ht="18" customHeight="1" x14ac:dyDescent="0.3"/>
    <row r="582" ht="18" customHeight="1" x14ac:dyDescent="0.3"/>
    <row r="583" ht="18" customHeight="1" x14ac:dyDescent="0.3"/>
    <row r="584" ht="18" customHeight="1" x14ac:dyDescent="0.3"/>
    <row r="585" ht="18" customHeight="1" x14ac:dyDescent="0.3"/>
    <row r="586" ht="18" customHeight="1" x14ac:dyDescent="0.3"/>
    <row r="587" ht="18" customHeight="1" x14ac:dyDescent="0.3"/>
    <row r="588" ht="18" customHeight="1" x14ac:dyDescent="0.3"/>
    <row r="589" ht="18" customHeight="1" x14ac:dyDescent="0.3"/>
    <row r="590" ht="18" customHeight="1" x14ac:dyDescent="0.3"/>
    <row r="591" ht="18" customHeight="1" x14ac:dyDescent="0.3"/>
    <row r="592" ht="18" customHeight="1" x14ac:dyDescent="0.3"/>
    <row r="593" ht="18" customHeight="1" x14ac:dyDescent="0.3"/>
    <row r="594" ht="18" customHeight="1" x14ac:dyDescent="0.3"/>
    <row r="595" ht="18" customHeight="1" x14ac:dyDescent="0.3"/>
    <row r="596" ht="18" customHeight="1" x14ac:dyDescent="0.3"/>
    <row r="597" ht="18" customHeight="1" x14ac:dyDescent="0.3"/>
    <row r="598" ht="18" customHeight="1" x14ac:dyDescent="0.3"/>
    <row r="599" ht="18" customHeight="1" x14ac:dyDescent="0.3"/>
    <row r="600" ht="18" customHeight="1" x14ac:dyDescent="0.3"/>
    <row r="601" ht="18" customHeight="1" x14ac:dyDescent="0.3"/>
    <row r="602" ht="18" customHeight="1" x14ac:dyDescent="0.3"/>
    <row r="603" ht="18" customHeight="1" x14ac:dyDescent="0.3"/>
    <row r="604" ht="18" customHeight="1" x14ac:dyDescent="0.3"/>
    <row r="605" ht="18" customHeight="1" x14ac:dyDescent="0.3"/>
    <row r="606" ht="18" customHeight="1" x14ac:dyDescent="0.3"/>
    <row r="607" ht="18" customHeight="1" x14ac:dyDescent="0.3"/>
    <row r="608" ht="18" customHeight="1" x14ac:dyDescent="0.3"/>
    <row r="609" ht="18" customHeight="1" x14ac:dyDescent="0.3"/>
    <row r="610" ht="18" customHeight="1" x14ac:dyDescent="0.3"/>
    <row r="611" ht="18" customHeight="1" x14ac:dyDescent="0.3"/>
    <row r="612" ht="18" customHeight="1" x14ac:dyDescent="0.3"/>
    <row r="613" ht="18" customHeight="1" x14ac:dyDescent="0.3"/>
    <row r="614" ht="18" customHeight="1" x14ac:dyDescent="0.3"/>
    <row r="615" ht="18" customHeight="1" x14ac:dyDescent="0.3"/>
    <row r="616" ht="18" customHeight="1" x14ac:dyDescent="0.3"/>
    <row r="617" ht="18" customHeight="1" x14ac:dyDescent="0.3"/>
    <row r="618" ht="18" customHeight="1" x14ac:dyDescent="0.3"/>
    <row r="619" ht="18" customHeight="1" x14ac:dyDescent="0.3"/>
    <row r="620" ht="18" customHeight="1" x14ac:dyDescent="0.3"/>
    <row r="621" ht="18" customHeight="1" x14ac:dyDescent="0.3"/>
    <row r="622" ht="18" customHeight="1" x14ac:dyDescent="0.3"/>
    <row r="623" ht="18" customHeight="1" x14ac:dyDescent="0.3"/>
    <row r="624" ht="18" customHeight="1" x14ac:dyDescent="0.3"/>
    <row r="625" ht="18" customHeight="1" x14ac:dyDescent="0.3"/>
    <row r="626" ht="18" customHeight="1" x14ac:dyDescent="0.3"/>
    <row r="627" ht="18" customHeight="1" x14ac:dyDescent="0.3"/>
    <row r="628" ht="18" customHeight="1" x14ac:dyDescent="0.3"/>
    <row r="629" ht="18" customHeight="1" x14ac:dyDescent="0.3"/>
    <row r="630" ht="18" customHeight="1" x14ac:dyDescent="0.3"/>
    <row r="631" ht="18" customHeight="1" x14ac:dyDescent="0.3"/>
    <row r="632" ht="18" customHeight="1" x14ac:dyDescent="0.3"/>
    <row r="633" ht="18" customHeight="1" x14ac:dyDescent="0.3"/>
    <row r="634" ht="18" customHeight="1" x14ac:dyDescent="0.3"/>
    <row r="635" ht="18" customHeight="1" x14ac:dyDescent="0.3"/>
    <row r="636" ht="18" customHeight="1" x14ac:dyDescent="0.3"/>
    <row r="637" ht="18" customHeight="1" x14ac:dyDescent="0.3"/>
    <row r="638" ht="18" customHeight="1" x14ac:dyDescent="0.3"/>
    <row r="639" ht="18" customHeight="1" x14ac:dyDescent="0.3"/>
    <row r="640" ht="18" customHeight="1" x14ac:dyDescent="0.3"/>
    <row r="641" ht="18" customHeight="1" x14ac:dyDescent="0.3"/>
    <row r="642" ht="18" customHeight="1" x14ac:dyDescent="0.3"/>
    <row r="643" ht="18" customHeight="1" x14ac:dyDescent="0.3"/>
    <row r="644" ht="18" customHeight="1" x14ac:dyDescent="0.3"/>
    <row r="645" ht="18" customHeight="1" x14ac:dyDescent="0.3"/>
    <row r="646" ht="18" customHeight="1" x14ac:dyDescent="0.3"/>
    <row r="647" ht="18" customHeight="1" x14ac:dyDescent="0.3"/>
    <row r="648" ht="18" customHeight="1" x14ac:dyDescent="0.3"/>
    <row r="649" ht="18" customHeight="1" x14ac:dyDescent="0.3"/>
    <row r="650" ht="18" customHeight="1" x14ac:dyDescent="0.3"/>
    <row r="651" ht="18" customHeight="1" x14ac:dyDescent="0.3"/>
    <row r="652" ht="18" customHeight="1" x14ac:dyDescent="0.3"/>
    <row r="653" ht="18" customHeight="1" x14ac:dyDescent="0.3"/>
    <row r="654" ht="18" customHeight="1" x14ac:dyDescent="0.3"/>
    <row r="655" ht="18" customHeight="1" x14ac:dyDescent="0.3"/>
    <row r="656" ht="18" customHeight="1" x14ac:dyDescent="0.3"/>
    <row r="657" ht="18" customHeight="1" x14ac:dyDescent="0.3"/>
    <row r="658" ht="18" customHeight="1" x14ac:dyDescent="0.3"/>
    <row r="659" ht="18" customHeight="1" x14ac:dyDescent="0.3"/>
    <row r="660" ht="18" customHeight="1" x14ac:dyDescent="0.3"/>
    <row r="661" ht="18" customHeight="1" x14ac:dyDescent="0.3"/>
    <row r="662" ht="18" customHeight="1" x14ac:dyDescent="0.3"/>
    <row r="663" ht="18" customHeight="1" x14ac:dyDescent="0.3"/>
    <row r="664" ht="18" customHeight="1" x14ac:dyDescent="0.3"/>
    <row r="665" ht="18" customHeight="1" x14ac:dyDescent="0.3"/>
    <row r="666" ht="18" customHeight="1" x14ac:dyDescent="0.3"/>
    <row r="667" ht="18" customHeight="1" x14ac:dyDescent="0.3"/>
    <row r="668" ht="18" customHeight="1" x14ac:dyDescent="0.3"/>
    <row r="669" ht="18" customHeight="1" x14ac:dyDescent="0.3"/>
    <row r="670" ht="18" customHeight="1" x14ac:dyDescent="0.3"/>
    <row r="671" ht="18" customHeight="1" x14ac:dyDescent="0.3"/>
    <row r="672" ht="18" customHeight="1" x14ac:dyDescent="0.3"/>
    <row r="673" ht="18" customHeight="1" x14ac:dyDescent="0.3"/>
    <row r="674" ht="18" customHeight="1" x14ac:dyDescent="0.3"/>
    <row r="675" ht="18" customHeight="1" x14ac:dyDescent="0.3"/>
    <row r="676" ht="18" customHeight="1" x14ac:dyDescent="0.3"/>
    <row r="677" ht="18" customHeight="1" x14ac:dyDescent="0.3"/>
    <row r="678" ht="18" customHeight="1" x14ac:dyDescent="0.3"/>
    <row r="679" ht="18" customHeight="1" x14ac:dyDescent="0.3"/>
    <row r="680" ht="18" customHeight="1" x14ac:dyDescent="0.3"/>
    <row r="681" ht="18" customHeight="1" x14ac:dyDescent="0.3"/>
    <row r="682" ht="18" customHeight="1" x14ac:dyDescent="0.3"/>
    <row r="683" ht="18" customHeight="1" x14ac:dyDescent="0.3"/>
    <row r="684" ht="18" customHeight="1" x14ac:dyDescent="0.3"/>
    <row r="685" ht="18" customHeight="1" x14ac:dyDescent="0.3"/>
    <row r="686" ht="18" customHeight="1" x14ac:dyDescent="0.3"/>
    <row r="687" ht="18" customHeight="1" x14ac:dyDescent="0.3"/>
    <row r="688" ht="18" customHeight="1" x14ac:dyDescent="0.3"/>
    <row r="689" ht="18" customHeight="1" x14ac:dyDescent="0.3"/>
    <row r="690" ht="18" customHeight="1" x14ac:dyDescent="0.3"/>
    <row r="691" ht="18" customHeight="1" x14ac:dyDescent="0.3"/>
    <row r="692" ht="18" customHeight="1" x14ac:dyDescent="0.3"/>
    <row r="693" ht="18" customHeight="1" x14ac:dyDescent="0.3"/>
    <row r="694" ht="18" customHeight="1" x14ac:dyDescent="0.3"/>
    <row r="695" ht="18" customHeight="1" x14ac:dyDescent="0.3"/>
    <row r="696" ht="18" customHeight="1" x14ac:dyDescent="0.3"/>
    <row r="697" ht="18" customHeight="1" x14ac:dyDescent="0.3"/>
    <row r="698" ht="18" customHeight="1" x14ac:dyDescent="0.3"/>
    <row r="699" ht="18" customHeight="1" x14ac:dyDescent="0.3"/>
    <row r="700" ht="18" customHeight="1" x14ac:dyDescent="0.3"/>
    <row r="701" ht="18" customHeight="1" x14ac:dyDescent="0.3"/>
    <row r="702" ht="18" customHeight="1" x14ac:dyDescent="0.3"/>
    <row r="703" ht="18" customHeight="1" x14ac:dyDescent="0.3"/>
    <row r="704" ht="18" customHeight="1" x14ac:dyDescent="0.3"/>
    <row r="705" ht="18" customHeight="1" x14ac:dyDescent="0.3"/>
    <row r="706" ht="18" customHeight="1" x14ac:dyDescent="0.3"/>
    <row r="707" ht="18" customHeight="1" x14ac:dyDescent="0.3"/>
    <row r="708" ht="18" customHeight="1" x14ac:dyDescent="0.3"/>
    <row r="709" ht="18" customHeight="1" x14ac:dyDescent="0.3"/>
    <row r="710" ht="18" customHeight="1" x14ac:dyDescent="0.3"/>
    <row r="711" ht="18" customHeight="1" x14ac:dyDescent="0.3"/>
    <row r="712" ht="18" customHeight="1" x14ac:dyDescent="0.3"/>
    <row r="713" ht="18" customHeight="1" x14ac:dyDescent="0.3"/>
    <row r="714" ht="18" customHeight="1" x14ac:dyDescent="0.3"/>
    <row r="715" ht="18" customHeight="1" x14ac:dyDescent="0.3"/>
    <row r="716" ht="18" customHeight="1" x14ac:dyDescent="0.3"/>
    <row r="717" ht="18" customHeight="1" x14ac:dyDescent="0.3"/>
    <row r="718" ht="18" customHeight="1" x14ac:dyDescent="0.3"/>
    <row r="719" ht="18" customHeight="1" x14ac:dyDescent="0.3"/>
    <row r="720" ht="18" customHeight="1" x14ac:dyDescent="0.3"/>
    <row r="721" ht="18" customHeight="1" x14ac:dyDescent="0.3"/>
    <row r="722" ht="18" customHeight="1" x14ac:dyDescent="0.3"/>
    <row r="723" ht="18" customHeight="1" x14ac:dyDescent="0.3"/>
    <row r="724" ht="18" customHeight="1" x14ac:dyDescent="0.3"/>
    <row r="725" ht="18" customHeight="1" x14ac:dyDescent="0.3"/>
    <row r="726" ht="18" customHeight="1" x14ac:dyDescent="0.3"/>
    <row r="727" ht="18" customHeight="1" x14ac:dyDescent="0.3"/>
    <row r="728" ht="18" customHeight="1" x14ac:dyDescent="0.3"/>
    <row r="729" ht="18" customHeight="1" x14ac:dyDescent="0.3"/>
    <row r="730" ht="18" customHeight="1" x14ac:dyDescent="0.3"/>
    <row r="731" ht="18" customHeight="1" x14ac:dyDescent="0.3"/>
    <row r="732" ht="18" customHeight="1" x14ac:dyDescent="0.3"/>
    <row r="733" ht="18" customHeight="1" x14ac:dyDescent="0.3"/>
    <row r="734" ht="18" customHeight="1" x14ac:dyDescent="0.3"/>
    <row r="735" ht="18" customHeight="1" x14ac:dyDescent="0.3"/>
    <row r="736" ht="18" customHeight="1" x14ac:dyDescent="0.3"/>
    <row r="737" ht="18" customHeight="1" x14ac:dyDescent="0.3"/>
    <row r="738" ht="18" customHeight="1" x14ac:dyDescent="0.3"/>
    <row r="739" ht="18" customHeight="1" x14ac:dyDescent="0.3"/>
    <row r="740" ht="18" customHeight="1" x14ac:dyDescent="0.3"/>
    <row r="741" ht="18" customHeight="1" x14ac:dyDescent="0.3"/>
    <row r="742" ht="18" customHeight="1" x14ac:dyDescent="0.3"/>
    <row r="743" ht="18" customHeight="1" x14ac:dyDescent="0.3"/>
    <row r="744" ht="18" customHeight="1" x14ac:dyDescent="0.3"/>
    <row r="745" ht="18" customHeight="1" x14ac:dyDescent="0.3"/>
    <row r="746" ht="18" customHeight="1" x14ac:dyDescent="0.3"/>
    <row r="747" ht="18" customHeight="1" x14ac:dyDescent="0.3"/>
    <row r="748" ht="18" customHeight="1" x14ac:dyDescent="0.3"/>
    <row r="749" ht="18" customHeight="1" x14ac:dyDescent="0.3"/>
    <row r="750" ht="18" customHeight="1" x14ac:dyDescent="0.3"/>
    <row r="751" ht="18" customHeight="1" x14ac:dyDescent="0.3"/>
    <row r="752" ht="18" customHeight="1" x14ac:dyDescent="0.3"/>
    <row r="753" ht="18" customHeight="1" x14ac:dyDescent="0.3"/>
    <row r="754" ht="18" customHeight="1" x14ac:dyDescent="0.3"/>
    <row r="755" ht="18" customHeight="1" x14ac:dyDescent="0.3"/>
    <row r="756" ht="18" customHeight="1" x14ac:dyDescent="0.3"/>
    <row r="757" ht="18" customHeight="1" x14ac:dyDescent="0.3"/>
    <row r="758" ht="18" customHeight="1" x14ac:dyDescent="0.3"/>
    <row r="759" ht="18" customHeight="1" x14ac:dyDescent="0.3"/>
    <row r="760" ht="18" customHeight="1" x14ac:dyDescent="0.3"/>
    <row r="761" ht="18" customHeight="1" x14ac:dyDescent="0.3"/>
    <row r="762" ht="18" customHeight="1" x14ac:dyDescent="0.3"/>
    <row r="763" ht="18" customHeight="1" x14ac:dyDescent="0.3"/>
    <row r="764" ht="18" customHeight="1" x14ac:dyDescent="0.3"/>
    <row r="765" ht="18" customHeight="1" x14ac:dyDescent="0.3"/>
    <row r="766" ht="18" customHeight="1" x14ac:dyDescent="0.3"/>
    <row r="767" ht="18" customHeight="1" x14ac:dyDescent="0.3"/>
    <row r="768" ht="18" customHeight="1" x14ac:dyDescent="0.3"/>
    <row r="769" ht="18" customHeight="1" x14ac:dyDescent="0.3"/>
    <row r="770" ht="18" customHeight="1" x14ac:dyDescent="0.3"/>
    <row r="771" ht="18" customHeight="1" x14ac:dyDescent="0.3"/>
    <row r="772" ht="18" customHeight="1" x14ac:dyDescent="0.3"/>
    <row r="773" ht="18" customHeight="1" x14ac:dyDescent="0.3"/>
    <row r="774" ht="18" customHeight="1" x14ac:dyDescent="0.3"/>
    <row r="775" ht="18" customHeight="1" x14ac:dyDescent="0.3"/>
    <row r="776" ht="18" customHeight="1" x14ac:dyDescent="0.3"/>
    <row r="777" ht="18" customHeight="1" x14ac:dyDescent="0.3"/>
    <row r="778" ht="18" customHeight="1" x14ac:dyDescent="0.3"/>
    <row r="779" ht="18" customHeight="1" x14ac:dyDescent="0.3"/>
    <row r="780" ht="18" customHeight="1" x14ac:dyDescent="0.3"/>
    <row r="781" ht="18" customHeight="1" x14ac:dyDescent="0.3"/>
    <row r="782" ht="18" customHeight="1" x14ac:dyDescent="0.3"/>
    <row r="783" ht="18" customHeight="1" x14ac:dyDescent="0.3"/>
    <row r="784" ht="18" customHeight="1" x14ac:dyDescent="0.3"/>
    <row r="785" ht="18" customHeight="1" x14ac:dyDescent="0.3"/>
    <row r="786" ht="18" customHeight="1" x14ac:dyDescent="0.3"/>
    <row r="787" ht="18" customHeight="1" x14ac:dyDescent="0.3"/>
    <row r="788" ht="18" customHeight="1" x14ac:dyDescent="0.3"/>
    <row r="789" ht="18" customHeight="1" x14ac:dyDescent="0.3"/>
    <row r="790" ht="18" customHeight="1" x14ac:dyDescent="0.3"/>
    <row r="791" ht="18" customHeight="1" x14ac:dyDescent="0.3"/>
    <row r="792" ht="18" customHeight="1" x14ac:dyDescent="0.3"/>
    <row r="793" ht="18" customHeight="1" x14ac:dyDescent="0.3"/>
    <row r="794" ht="18" customHeight="1" x14ac:dyDescent="0.3"/>
    <row r="795" ht="18" customHeight="1" x14ac:dyDescent="0.3"/>
    <row r="796" ht="18" customHeight="1" x14ac:dyDescent="0.3"/>
    <row r="797" ht="18" customHeight="1" x14ac:dyDescent="0.3"/>
    <row r="798" ht="18" customHeight="1" x14ac:dyDescent="0.3"/>
    <row r="799" ht="18" customHeight="1" x14ac:dyDescent="0.3"/>
    <row r="800" ht="18" customHeight="1" x14ac:dyDescent="0.3"/>
    <row r="801" ht="18" customHeight="1" x14ac:dyDescent="0.3"/>
    <row r="802" ht="18" customHeight="1" x14ac:dyDescent="0.3"/>
    <row r="803" ht="18" customHeight="1" x14ac:dyDescent="0.3"/>
    <row r="804" ht="18" customHeight="1" x14ac:dyDescent="0.3"/>
    <row r="805" ht="18" customHeight="1" x14ac:dyDescent="0.3"/>
    <row r="806" ht="18" customHeight="1" x14ac:dyDescent="0.3"/>
    <row r="807" ht="18" customHeight="1" x14ac:dyDescent="0.3"/>
    <row r="808" ht="18" customHeight="1" x14ac:dyDescent="0.3"/>
    <row r="809" ht="18" customHeight="1" x14ac:dyDescent="0.3"/>
    <row r="810" ht="18" customHeight="1" x14ac:dyDescent="0.3"/>
    <row r="811" ht="18" customHeight="1" x14ac:dyDescent="0.3"/>
    <row r="812" ht="18" customHeight="1" x14ac:dyDescent="0.3"/>
    <row r="813" ht="18" customHeight="1" x14ac:dyDescent="0.3"/>
    <row r="814" ht="18" customHeight="1" x14ac:dyDescent="0.3"/>
    <row r="815" ht="18" customHeight="1" x14ac:dyDescent="0.3"/>
    <row r="816" ht="18" customHeight="1" x14ac:dyDescent="0.3"/>
    <row r="817" ht="18" customHeight="1" x14ac:dyDescent="0.3"/>
    <row r="818" ht="18" customHeight="1" x14ac:dyDescent="0.3"/>
    <row r="819" ht="18" customHeight="1" x14ac:dyDescent="0.3"/>
    <row r="820" ht="18" customHeight="1" x14ac:dyDescent="0.3"/>
    <row r="821" ht="18" customHeight="1" x14ac:dyDescent="0.3"/>
    <row r="822" ht="18" customHeight="1" x14ac:dyDescent="0.3"/>
    <row r="823" ht="18" customHeight="1" x14ac:dyDescent="0.3"/>
    <row r="824" ht="18" customHeight="1" x14ac:dyDescent="0.3"/>
    <row r="825" ht="18" customHeight="1" x14ac:dyDescent="0.3"/>
    <row r="826" ht="18" customHeight="1" x14ac:dyDescent="0.3"/>
    <row r="827" ht="18" customHeight="1" x14ac:dyDescent="0.3"/>
    <row r="828" ht="18" customHeight="1" x14ac:dyDescent="0.3"/>
    <row r="829" ht="18" customHeight="1" x14ac:dyDescent="0.3"/>
    <row r="830" ht="18" customHeight="1" x14ac:dyDescent="0.3"/>
    <row r="831" ht="18" customHeight="1" x14ac:dyDescent="0.3"/>
    <row r="832" ht="18" customHeight="1" x14ac:dyDescent="0.3"/>
    <row r="833" ht="18" customHeight="1" x14ac:dyDescent="0.3"/>
    <row r="834" ht="18" customHeight="1" x14ac:dyDescent="0.3"/>
    <row r="835" ht="18" customHeight="1" x14ac:dyDescent="0.3"/>
    <row r="836" ht="18" customHeight="1" x14ac:dyDescent="0.3"/>
    <row r="837" ht="18" customHeight="1" x14ac:dyDescent="0.3"/>
    <row r="838" ht="18" customHeight="1" x14ac:dyDescent="0.3"/>
    <row r="839" ht="18" customHeight="1" x14ac:dyDescent="0.3"/>
    <row r="840" ht="18" customHeight="1" x14ac:dyDescent="0.3"/>
    <row r="841" ht="18" customHeight="1" x14ac:dyDescent="0.3"/>
    <row r="842" ht="18" customHeight="1" x14ac:dyDescent="0.3"/>
    <row r="843" ht="18" customHeight="1" x14ac:dyDescent="0.3"/>
    <row r="844" ht="18" customHeight="1" x14ac:dyDescent="0.3"/>
    <row r="845" ht="18" customHeight="1" x14ac:dyDescent="0.3"/>
    <row r="846" ht="18" customHeight="1" x14ac:dyDescent="0.3"/>
    <row r="847" ht="18" customHeight="1" x14ac:dyDescent="0.3"/>
    <row r="848" ht="18" customHeight="1" x14ac:dyDescent="0.3"/>
    <row r="849" ht="18" customHeight="1" x14ac:dyDescent="0.3"/>
    <row r="850" ht="18" customHeight="1" x14ac:dyDescent="0.3"/>
    <row r="851" ht="18" customHeight="1" x14ac:dyDescent="0.3"/>
    <row r="852" ht="18" customHeight="1" x14ac:dyDescent="0.3"/>
    <row r="853" ht="18" customHeight="1" x14ac:dyDescent="0.3"/>
    <row r="854" ht="18" customHeight="1" x14ac:dyDescent="0.3"/>
    <row r="855" ht="18" customHeight="1" x14ac:dyDescent="0.3"/>
    <row r="856" ht="18" customHeight="1" x14ac:dyDescent="0.3"/>
    <row r="857" ht="18" customHeight="1" x14ac:dyDescent="0.3"/>
    <row r="858" ht="18" customHeight="1" x14ac:dyDescent="0.3"/>
    <row r="859" ht="18" customHeight="1" x14ac:dyDescent="0.3"/>
    <row r="860" ht="18" customHeight="1" x14ac:dyDescent="0.3"/>
    <row r="861" ht="18" customHeight="1" x14ac:dyDescent="0.3"/>
    <row r="862" ht="18" customHeight="1" x14ac:dyDescent="0.3"/>
    <row r="863" ht="18" customHeight="1" x14ac:dyDescent="0.3"/>
    <row r="864" ht="18" customHeight="1" x14ac:dyDescent="0.3"/>
    <row r="865" ht="18" customHeight="1" x14ac:dyDescent="0.3"/>
    <row r="866" ht="18" customHeight="1" x14ac:dyDescent="0.3"/>
    <row r="867" ht="18" customHeight="1" x14ac:dyDescent="0.3"/>
    <row r="868" ht="18" customHeight="1" x14ac:dyDescent="0.3"/>
    <row r="869" ht="18" customHeight="1" x14ac:dyDescent="0.3"/>
    <row r="870" ht="18" customHeight="1" x14ac:dyDescent="0.3"/>
    <row r="871" ht="18" customHeight="1" x14ac:dyDescent="0.3"/>
    <row r="872" ht="18" customHeight="1" x14ac:dyDescent="0.3"/>
    <row r="873" ht="18" customHeight="1" x14ac:dyDescent="0.3"/>
    <row r="874" ht="18" customHeight="1" x14ac:dyDescent="0.3"/>
    <row r="875" ht="18" customHeight="1" x14ac:dyDescent="0.3"/>
    <row r="876" ht="18" customHeight="1" x14ac:dyDescent="0.3"/>
    <row r="877" ht="18" customHeight="1" x14ac:dyDescent="0.3"/>
    <row r="878" ht="18" customHeight="1" x14ac:dyDescent="0.3"/>
    <row r="879" ht="18" customHeight="1" x14ac:dyDescent="0.3"/>
    <row r="880" ht="18" customHeight="1" x14ac:dyDescent="0.3"/>
    <row r="881" ht="18" customHeight="1" x14ac:dyDescent="0.3"/>
    <row r="882" ht="18" customHeight="1" x14ac:dyDescent="0.3"/>
    <row r="883" ht="18" customHeight="1" x14ac:dyDescent="0.3"/>
    <row r="884" ht="18" customHeight="1" x14ac:dyDescent="0.3"/>
    <row r="885" ht="18" customHeight="1" x14ac:dyDescent="0.3"/>
    <row r="886" ht="18" customHeight="1" x14ac:dyDescent="0.3"/>
    <row r="887" ht="18" customHeight="1" x14ac:dyDescent="0.3"/>
    <row r="888" ht="18" customHeight="1" x14ac:dyDescent="0.3"/>
    <row r="889" ht="18" customHeight="1" x14ac:dyDescent="0.3"/>
    <row r="890" ht="18" customHeight="1" x14ac:dyDescent="0.3"/>
    <row r="891" ht="18" customHeight="1" x14ac:dyDescent="0.3"/>
    <row r="892" ht="18" customHeight="1" x14ac:dyDescent="0.3"/>
    <row r="893" ht="18" customHeight="1" x14ac:dyDescent="0.3"/>
    <row r="894" ht="18" customHeight="1" x14ac:dyDescent="0.3"/>
    <row r="895" ht="18" customHeight="1" x14ac:dyDescent="0.3"/>
    <row r="896" ht="18" customHeight="1" x14ac:dyDescent="0.3"/>
    <row r="897" ht="18" customHeight="1" x14ac:dyDescent="0.3"/>
    <row r="898" ht="18" customHeight="1" x14ac:dyDescent="0.3"/>
    <row r="899" ht="18" customHeight="1" x14ac:dyDescent="0.3"/>
    <row r="900" ht="18" customHeight="1" x14ac:dyDescent="0.3"/>
    <row r="901" ht="18" customHeight="1" x14ac:dyDescent="0.3"/>
    <row r="902" ht="18" customHeight="1" x14ac:dyDescent="0.3"/>
    <row r="903" ht="18" customHeight="1" x14ac:dyDescent="0.3"/>
    <row r="904" ht="18" customHeight="1" x14ac:dyDescent="0.3"/>
    <row r="905" ht="18" customHeight="1" x14ac:dyDescent="0.3"/>
    <row r="906" ht="18" customHeight="1" x14ac:dyDescent="0.3"/>
    <row r="907" ht="18" customHeight="1" x14ac:dyDescent="0.3"/>
    <row r="908" ht="18" customHeight="1" x14ac:dyDescent="0.3"/>
    <row r="909" ht="18" customHeight="1" x14ac:dyDescent="0.3"/>
    <row r="910" ht="18" customHeight="1" x14ac:dyDescent="0.3"/>
    <row r="911" ht="18" customHeight="1" x14ac:dyDescent="0.3"/>
    <row r="912" ht="18" customHeight="1" x14ac:dyDescent="0.3"/>
    <row r="913" ht="18" customHeight="1" x14ac:dyDescent="0.3"/>
    <row r="914" ht="18" customHeight="1" x14ac:dyDescent="0.3"/>
    <row r="915" ht="18" customHeight="1" x14ac:dyDescent="0.3"/>
    <row r="916" ht="18" customHeight="1" x14ac:dyDescent="0.3"/>
    <row r="917" ht="18" customHeight="1" x14ac:dyDescent="0.3"/>
    <row r="918" ht="18" customHeight="1" x14ac:dyDescent="0.3"/>
    <row r="919" ht="18" customHeight="1" x14ac:dyDescent="0.3"/>
    <row r="920" ht="18" customHeight="1" x14ac:dyDescent="0.3"/>
    <row r="921" ht="18" customHeight="1" x14ac:dyDescent="0.3"/>
    <row r="922" ht="18" customHeight="1" x14ac:dyDescent="0.3"/>
    <row r="923" ht="18" customHeight="1" x14ac:dyDescent="0.3"/>
    <row r="924" ht="18" customHeight="1" x14ac:dyDescent="0.3"/>
    <row r="925" ht="18" customHeight="1" x14ac:dyDescent="0.3"/>
    <row r="926" ht="18" customHeight="1" x14ac:dyDescent="0.3"/>
    <row r="927" ht="18" customHeight="1" x14ac:dyDescent="0.3"/>
    <row r="928" ht="18" customHeight="1" x14ac:dyDescent="0.3"/>
    <row r="929" ht="18" customHeight="1" x14ac:dyDescent="0.3"/>
    <row r="930" ht="18" customHeight="1" x14ac:dyDescent="0.3"/>
    <row r="931" ht="18" customHeight="1" x14ac:dyDescent="0.3"/>
    <row r="932" ht="18" customHeight="1" x14ac:dyDescent="0.3"/>
    <row r="933" ht="18" customHeight="1" x14ac:dyDescent="0.3"/>
    <row r="934" ht="18" customHeight="1" x14ac:dyDescent="0.3"/>
    <row r="935" ht="18" customHeight="1" x14ac:dyDescent="0.3"/>
    <row r="936" ht="18" customHeight="1" x14ac:dyDescent="0.3"/>
    <row r="937" ht="18" customHeight="1" x14ac:dyDescent="0.3"/>
    <row r="938" ht="18" customHeight="1" x14ac:dyDescent="0.3"/>
    <row r="939" ht="18" customHeight="1" x14ac:dyDescent="0.3"/>
    <row r="940" ht="18" customHeight="1" x14ac:dyDescent="0.3"/>
    <row r="941" ht="18" customHeight="1" x14ac:dyDescent="0.3"/>
    <row r="942" ht="18" customHeight="1" x14ac:dyDescent="0.3"/>
    <row r="943" ht="18" customHeight="1" x14ac:dyDescent="0.3"/>
    <row r="944" ht="18" customHeight="1" x14ac:dyDescent="0.3"/>
    <row r="945" ht="18" customHeight="1" x14ac:dyDescent="0.3"/>
    <row r="946" ht="18" customHeight="1" x14ac:dyDescent="0.3"/>
    <row r="947" ht="18" customHeight="1" x14ac:dyDescent="0.3"/>
    <row r="948" ht="18" customHeight="1" x14ac:dyDescent="0.3"/>
    <row r="949" ht="18" customHeight="1" x14ac:dyDescent="0.3"/>
    <row r="950" ht="18" customHeight="1" x14ac:dyDescent="0.3"/>
    <row r="951" ht="18" customHeight="1" x14ac:dyDescent="0.3"/>
    <row r="952" ht="18" customHeight="1" x14ac:dyDescent="0.3"/>
    <row r="953" ht="18" customHeight="1" x14ac:dyDescent="0.3"/>
    <row r="954" ht="18" customHeight="1" x14ac:dyDescent="0.3"/>
    <row r="955" ht="18" customHeight="1" x14ac:dyDescent="0.3"/>
    <row r="956" ht="18" customHeight="1" x14ac:dyDescent="0.3"/>
    <row r="957" ht="18" customHeight="1" x14ac:dyDescent="0.3"/>
    <row r="958" ht="18" customHeight="1" x14ac:dyDescent="0.3"/>
    <row r="959" ht="18" customHeight="1" x14ac:dyDescent="0.3"/>
    <row r="960" ht="18" customHeight="1" x14ac:dyDescent="0.3"/>
    <row r="961" ht="18" customHeight="1" x14ac:dyDescent="0.3"/>
    <row r="962" ht="18" customHeight="1" x14ac:dyDescent="0.3"/>
    <row r="963" ht="18" customHeight="1" x14ac:dyDescent="0.3"/>
    <row r="964" ht="18" customHeight="1" x14ac:dyDescent="0.3"/>
    <row r="965" ht="18" customHeight="1" x14ac:dyDescent="0.3"/>
    <row r="966" ht="18" customHeight="1" x14ac:dyDescent="0.3"/>
    <row r="967" ht="18" customHeight="1" x14ac:dyDescent="0.3"/>
    <row r="968" ht="18" customHeight="1" x14ac:dyDescent="0.3"/>
    <row r="969" ht="18" customHeight="1" x14ac:dyDescent="0.3"/>
    <row r="970" ht="18" customHeight="1" x14ac:dyDescent="0.3"/>
    <row r="971" ht="18" customHeight="1" x14ac:dyDescent="0.3"/>
    <row r="972" ht="18" customHeight="1" x14ac:dyDescent="0.3"/>
    <row r="973" ht="18" customHeight="1" x14ac:dyDescent="0.3"/>
    <row r="974" ht="18" customHeight="1" x14ac:dyDescent="0.3"/>
    <row r="975" ht="18" customHeight="1" x14ac:dyDescent="0.3"/>
    <row r="976" ht="18" customHeight="1" x14ac:dyDescent="0.3"/>
    <row r="977" ht="18" customHeight="1" x14ac:dyDescent="0.3"/>
    <row r="978" ht="18" customHeight="1" x14ac:dyDescent="0.3"/>
    <row r="979" ht="18" customHeight="1" x14ac:dyDescent="0.3"/>
    <row r="980" ht="18" customHeight="1" x14ac:dyDescent="0.3"/>
    <row r="981" ht="18" customHeight="1" x14ac:dyDescent="0.3"/>
    <row r="982" ht="18" customHeight="1" x14ac:dyDescent="0.3"/>
    <row r="983" ht="18" customHeight="1" x14ac:dyDescent="0.3"/>
    <row r="984" ht="18" customHeight="1" x14ac:dyDescent="0.3"/>
    <row r="985" ht="18" customHeight="1" x14ac:dyDescent="0.3"/>
    <row r="986" ht="18" customHeight="1" x14ac:dyDescent="0.3"/>
    <row r="987" ht="18" customHeight="1" x14ac:dyDescent="0.3"/>
    <row r="988" ht="18" customHeight="1" x14ac:dyDescent="0.3"/>
    <row r="989" ht="18" customHeight="1" x14ac:dyDescent="0.3"/>
    <row r="990" ht="18" customHeight="1" x14ac:dyDescent="0.3"/>
    <row r="991" ht="18" customHeight="1" x14ac:dyDescent="0.3"/>
    <row r="992" ht="18" customHeight="1" x14ac:dyDescent="0.3"/>
    <row r="993" ht="18" customHeight="1" x14ac:dyDescent="0.3"/>
    <row r="994" ht="18" customHeight="1" x14ac:dyDescent="0.3"/>
    <row r="995" ht="18" customHeight="1" x14ac:dyDescent="0.3"/>
    <row r="996" ht="18" customHeight="1" x14ac:dyDescent="0.3"/>
    <row r="997" ht="18" customHeight="1" x14ac:dyDescent="0.3"/>
    <row r="998" ht="18" customHeight="1" x14ac:dyDescent="0.3"/>
    <row r="999" ht="18" customHeight="1" x14ac:dyDescent="0.3"/>
    <row r="1000" ht="18" customHeight="1" x14ac:dyDescent="0.3"/>
    <row r="1001" ht="18" customHeight="1" x14ac:dyDescent="0.3"/>
    <row r="1002" ht="18" customHeight="1" x14ac:dyDescent="0.3"/>
    <row r="1003" ht="18" customHeight="1" x14ac:dyDescent="0.3"/>
  </sheetData>
  <mergeCells count="1">
    <mergeCell ref="A10:G10"/>
  </mergeCells>
  <conditionalFormatting sqref="A6">
    <cfRule type="cellIs" dxfId="68" priority="12" operator="greaterThan">
      <formula>35</formula>
    </cfRule>
    <cfRule type="expression" dxfId="67" priority="13">
      <formula>"$A6&gt;35"</formula>
    </cfRule>
  </conditionalFormatting>
  <conditionalFormatting sqref="B6">
    <cfRule type="cellIs" dxfId="66" priority="11" operator="lessThan">
      <formula>13</formula>
    </cfRule>
  </conditionalFormatting>
  <conditionalFormatting sqref="C6">
    <cfRule type="cellIs" dxfId="65" priority="10" operator="greaterThan">
      <formula>20</formula>
    </cfRule>
  </conditionalFormatting>
  <conditionalFormatting sqref="A19">
    <cfRule type="cellIs" dxfId="64" priority="9" operator="greaterThan">
      <formula>35</formula>
    </cfRule>
  </conditionalFormatting>
  <conditionalFormatting sqref="E19">
    <cfRule type="cellIs" dxfId="63" priority="8" operator="greaterThan">
      <formula>80</formula>
    </cfRule>
  </conditionalFormatting>
  <conditionalFormatting sqref="C19">
    <cfRule type="cellIs" dxfId="62" priority="7" operator="lessThan">
      <formula>5</formula>
    </cfRule>
  </conditionalFormatting>
  <conditionalFormatting sqref="F19">
    <cfRule type="cellIs" dxfId="61" priority="6" operator="greaterThan">
      <formula>20</formula>
    </cfRule>
  </conditionalFormatting>
  <conditionalFormatting sqref="G19">
    <cfRule type="cellIs" dxfId="60" priority="5" operator="greaterThan">
      <formula>0</formula>
    </cfRule>
  </conditionalFormatting>
  <conditionalFormatting sqref="A6:D6">
    <cfRule type="expression" dxfId="59" priority="2">
      <formula>$D6="Heatwave"</formula>
    </cfRule>
    <cfRule type="expression" dxfId="58" priority="4">
      <formula>"$A6&gt;35"</formula>
    </cfRule>
  </conditionalFormatting>
  <conditionalFormatting sqref="B3">
    <cfRule type="colorScale" priority="3">
      <colorScale>
        <cfvo type="min"/>
        <cfvo type="percentile" val="50"/>
        <cfvo type="max"/>
        <color rgb="FFF8696B"/>
        <color rgb="FFFFEB84"/>
        <color rgb="FF63BE7B"/>
      </colorScale>
    </cfRule>
  </conditionalFormatting>
  <conditionalFormatting sqref="D6">
    <cfRule type="expression" dxfId="57" priority="1">
      <formula>$D6="Heavy Rain"</formula>
    </cfRule>
  </conditionalFormatting>
  <pageMargins left="0.7" right="0.7" top="0.75" bottom="0.75" header="0" footer="0"/>
  <pageSetup orientation="landscape" r:id="rId1"/>
  <drawing r:id="rId2"/>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N/A" xr:uid="{7CB94327-65CB-4B28-B124-204B050522BB}">
          <x14:formula1>
            <xm:f>WeatherData!$F$2:$F$733</xm:f>
          </x14:formula1>
          <xm:sqref>B3</xm:sqref>
        </x14:dataValidation>
      </x14:dataValidation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R1000"/>
  <sheetViews>
    <sheetView workbookViewId="0">
      <selection activeCell="L32" sqref="L32"/>
    </sheetView>
  </sheetViews>
  <sheetFormatPr defaultColWidth="10.09765625" defaultRowHeight="15" customHeight="1" x14ac:dyDescent="0.3"/>
  <cols>
    <col min="1" max="2" width="17.59765625" customWidth="1"/>
    <col min="3" max="3" width="6.796875" customWidth="1"/>
    <col min="4" max="4" width="7.5" customWidth="1"/>
    <col min="5" max="5" width="5.69921875" customWidth="1"/>
    <col min="6" max="6" width="11.8984375" style="3" customWidth="1"/>
    <col min="7" max="7" width="12.8984375" style="3" customWidth="1"/>
    <col min="8" max="8" width="14.59765625" style="7" customWidth="1"/>
    <col min="9" max="9" width="18.5" style="7" customWidth="1"/>
    <col min="10" max="10" width="15.296875" style="7" customWidth="1"/>
    <col min="11" max="11" width="13.09765625" style="7" customWidth="1"/>
    <col min="12" max="12" width="17.8984375" customWidth="1"/>
    <col min="13" max="14" width="10.69921875" customWidth="1"/>
    <col min="15" max="15" width="12.69921875" customWidth="1"/>
    <col min="16" max="16" width="12" customWidth="1"/>
    <col min="17" max="17" width="10.69921875" customWidth="1"/>
    <col min="18" max="18" width="14.8984375" customWidth="1"/>
    <col min="19" max="28" width="10.69921875" customWidth="1"/>
  </cols>
  <sheetData>
    <row r="1" spans="1:18" ht="18" customHeight="1" x14ac:dyDescent="0.3">
      <c r="A1" s="1" t="s">
        <v>5</v>
      </c>
      <c r="B1" s="1" t="s">
        <v>10</v>
      </c>
      <c r="C1" s="1" t="s">
        <v>2</v>
      </c>
      <c r="D1" s="1" t="s">
        <v>3</v>
      </c>
      <c r="E1" s="1" t="s">
        <v>4</v>
      </c>
      <c r="F1" s="2" t="s">
        <v>0</v>
      </c>
      <c r="G1" s="2" t="s">
        <v>9</v>
      </c>
      <c r="H1" s="16" t="s">
        <v>13</v>
      </c>
      <c r="I1" s="16" t="s">
        <v>19</v>
      </c>
      <c r="J1" s="16" t="s">
        <v>20</v>
      </c>
      <c r="K1" s="16" t="s">
        <v>31</v>
      </c>
      <c r="L1" s="1" t="s">
        <v>25</v>
      </c>
    </row>
    <row r="2" spans="1:18" ht="18" customHeight="1" x14ac:dyDescent="0.3">
      <c r="A2" s="1">
        <v>23034</v>
      </c>
      <c r="B2" s="1" t="str">
        <f>VLOOKUP( WeatherData[[#This Row],[Station Number]], 'Station Numbers'!A:B,2,FALSE)</f>
        <v xml:space="preserve">Adelaide Airport </v>
      </c>
      <c r="C2" s="1">
        <v>2020</v>
      </c>
      <c r="D2" s="1">
        <v>1</v>
      </c>
      <c r="E2" s="1">
        <v>1</v>
      </c>
      <c r="F2" s="2">
        <f>DATE(WeatherData[[#This Row],[Year]],WeatherData[[#This Row],[Month]],WeatherData[[#This Row],[Day]])</f>
        <v>43831</v>
      </c>
      <c r="G2" s="5" t="str">
        <f>TEXT(WeatherData[[#This Row],[Date]], "mmmm")</f>
        <v>January</v>
      </c>
      <c r="H2" s="16">
        <v>0</v>
      </c>
      <c r="I2" s="16">
        <v>23.9</v>
      </c>
      <c r="J2" s="16">
        <v>12</v>
      </c>
      <c r="K2" s="6">
        <f t="shared" ref="K2:K65" si="0">I2-J2</f>
        <v>11.899999999999999</v>
      </c>
      <c r="L2" s="4" t="str">
        <f t="shared" ref="L2:L65" si="1">IF(AND(I2&gt;35, H2&gt;20), "Heatwave + Rain",
   IF(I2&gt;35, "Heatwave",
   IF(H2&gt;20, "Heavy Rain",
   IF(I2&lt;10, "Cold",
   "Normal"))))</f>
        <v>Normal</v>
      </c>
      <c r="N2" s="93" t="s">
        <v>41</v>
      </c>
      <c r="O2" s="93"/>
      <c r="P2" s="93"/>
      <c r="Q2" s="93"/>
      <c r="R2" s="93"/>
    </row>
    <row r="3" spans="1:18" ht="18" customHeight="1" thickBot="1" x14ac:dyDescent="0.35">
      <c r="A3" s="1">
        <v>23034</v>
      </c>
      <c r="B3" s="1" t="str">
        <f>VLOOKUP( WeatherData[[#This Row],[Station Number]], 'Station Numbers'!A:B,2,FALSE)</f>
        <v xml:space="preserve">Adelaide Airport </v>
      </c>
      <c r="C3" s="1">
        <v>2020</v>
      </c>
      <c r="D3" s="1">
        <v>1</v>
      </c>
      <c r="E3" s="1">
        <v>2</v>
      </c>
      <c r="F3" s="2">
        <f>DATE(WeatherData[[#This Row],[Year]],WeatherData[[#This Row],[Month]],WeatherData[[#This Row],[Day]])</f>
        <v>43832</v>
      </c>
      <c r="G3" s="2" t="str">
        <f>TEXT(WeatherData[[#This Row],[Date]], "mmmm")</f>
        <v>January</v>
      </c>
      <c r="H3" s="16">
        <v>0</v>
      </c>
      <c r="I3" s="16">
        <v>33.4</v>
      </c>
      <c r="J3" s="16">
        <v>13.2</v>
      </c>
      <c r="K3" s="6">
        <f t="shared" si="0"/>
        <v>20.2</v>
      </c>
      <c r="L3" s="4" t="str">
        <f t="shared" si="1"/>
        <v>Normal</v>
      </c>
      <c r="N3" s="13"/>
    </row>
    <row r="4" spans="1:18" ht="18" customHeight="1" thickBot="1" x14ac:dyDescent="0.35">
      <c r="A4" s="1">
        <v>23034</v>
      </c>
      <c r="B4" s="1" t="str">
        <f>VLOOKUP( WeatherData[[#This Row],[Station Number]], 'Station Numbers'!A:B,2,FALSE)</f>
        <v xml:space="preserve">Adelaide Airport </v>
      </c>
      <c r="C4" s="1">
        <v>2020</v>
      </c>
      <c r="D4" s="1">
        <v>1</v>
      </c>
      <c r="E4" s="1">
        <v>3</v>
      </c>
      <c r="F4" s="2">
        <f>DATE(WeatherData[[#This Row],[Year]],WeatherData[[#This Row],[Month]],WeatherData[[#This Row],[Day]])</f>
        <v>43833</v>
      </c>
      <c r="G4" s="2" t="str">
        <f>TEXT(WeatherData[[#This Row],[Date]], "mmmm")</f>
        <v>January</v>
      </c>
      <c r="H4" s="16">
        <v>0</v>
      </c>
      <c r="I4" s="16">
        <v>39.700000000000003</v>
      </c>
      <c r="J4" s="16">
        <v>19.2</v>
      </c>
      <c r="K4" s="6">
        <f t="shared" si="0"/>
        <v>20.500000000000004</v>
      </c>
      <c r="L4" s="4" t="str">
        <f t="shared" si="1"/>
        <v>Heatwave</v>
      </c>
      <c r="N4" s="79" t="s">
        <v>29</v>
      </c>
      <c r="O4" s="80" t="s">
        <v>37</v>
      </c>
      <c r="P4" s="80" t="s">
        <v>38</v>
      </c>
      <c r="Q4" s="80" t="s">
        <v>39</v>
      </c>
      <c r="R4" s="81" t="s">
        <v>40</v>
      </c>
    </row>
    <row r="5" spans="1:18" ht="18" customHeight="1" x14ac:dyDescent="0.3">
      <c r="A5" s="1">
        <v>23034</v>
      </c>
      <c r="B5" s="1" t="str">
        <f>VLOOKUP( WeatherData[[#This Row],[Station Number]], 'Station Numbers'!A:B,2,FALSE)</f>
        <v xml:space="preserve">Adelaide Airport </v>
      </c>
      <c r="C5" s="1">
        <v>2020</v>
      </c>
      <c r="D5" s="1">
        <v>1</v>
      </c>
      <c r="E5" s="1">
        <v>4</v>
      </c>
      <c r="F5" s="2">
        <f>DATE(WeatherData[[#This Row],[Year]],WeatherData[[#This Row],[Month]],WeatherData[[#This Row],[Day]])</f>
        <v>43834</v>
      </c>
      <c r="G5" s="2" t="str">
        <f>TEXT(WeatherData[[#This Row],[Date]], "mmmm")</f>
        <v>January</v>
      </c>
      <c r="H5" s="16">
        <v>0</v>
      </c>
      <c r="I5" s="16">
        <v>25</v>
      </c>
      <c r="J5" s="16">
        <v>19.7</v>
      </c>
      <c r="K5" s="6">
        <f t="shared" si="0"/>
        <v>5.3000000000000007</v>
      </c>
      <c r="L5" s="4" t="str">
        <f t="shared" si="1"/>
        <v>Normal</v>
      </c>
      <c r="N5" s="82" t="s">
        <v>35</v>
      </c>
      <c r="O5" s="84">
        <f>SUM(AVERAGE(I2:I367))</f>
        <v>21.517213114754099</v>
      </c>
      <c r="P5" s="84">
        <f>SUM(AVERAGE(J2:J367))</f>
        <v>11.782513661202177</v>
      </c>
      <c r="Q5" s="84">
        <f>SUM(AVERAGE(H2:H367))</f>
        <v>1.0737704918032782</v>
      </c>
      <c r="R5" s="85">
        <f>MAX(H2:H367)</f>
        <v>29.6</v>
      </c>
    </row>
    <row r="6" spans="1:18" ht="18" customHeight="1" thickBot="1" x14ac:dyDescent="0.35">
      <c r="A6" s="1">
        <v>23034</v>
      </c>
      <c r="B6" s="1" t="str">
        <f>VLOOKUP( WeatherData[[#This Row],[Station Number]], 'Station Numbers'!A:B,2,FALSE)</f>
        <v xml:space="preserve">Adelaide Airport </v>
      </c>
      <c r="C6" s="1">
        <v>2020</v>
      </c>
      <c r="D6" s="1">
        <v>1</v>
      </c>
      <c r="E6" s="1">
        <v>5</v>
      </c>
      <c r="F6" s="2">
        <f>DATE(WeatherData[[#This Row],[Year]],WeatherData[[#This Row],[Month]],WeatherData[[#This Row],[Day]])</f>
        <v>43835</v>
      </c>
      <c r="G6" s="2" t="str">
        <f>TEXT(WeatherData[[#This Row],[Date]], "mmmm")</f>
        <v>January</v>
      </c>
      <c r="H6" s="16">
        <v>4</v>
      </c>
      <c r="I6" s="16">
        <v>17.8</v>
      </c>
      <c r="J6" s="16">
        <v>11.7</v>
      </c>
      <c r="K6" s="6">
        <f t="shared" si="0"/>
        <v>6.1000000000000014</v>
      </c>
      <c r="L6" s="4" t="str">
        <f t="shared" si="1"/>
        <v>Normal</v>
      </c>
      <c r="N6" s="86" t="s">
        <v>36</v>
      </c>
      <c r="O6" s="87">
        <f>SUM(AVERAGE(I368:I734))</f>
        <v>19.856557377049178</v>
      </c>
      <c r="P6" s="87">
        <f>SUM(AVERAGE(J368:J734))</f>
        <v>11.226229508196718</v>
      </c>
      <c r="Q6" s="87">
        <f>SUM(AVERAGE(H368:H734))</f>
        <v>2.1497267759562844</v>
      </c>
      <c r="R6" s="88">
        <f>MAX(H367:H734)</f>
        <v>54.6</v>
      </c>
    </row>
    <row r="7" spans="1:18" ht="18" customHeight="1" x14ac:dyDescent="0.3">
      <c r="A7" s="1">
        <v>23034</v>
      </c>
      <c r="B7" s="1" t="str">
        <f>VLOOKUP( WeatherData[[#This Row],[Station Number]], 'Station Numbers'!A:B,2,FALSE)</f>
        <v xml:space="preserve">Adelaide Airport </v>
      </c>
      <c r="C7" s="1">
        <v>2020</v>
      </c>
      <c r="D7" s="1">
        <v>1</v>
      </c>
      <c r="E7" s="1">
        <v>6</v>
      </c>
      <c r="F7" s="2">
        <f>DATE(WeatherData[[#This Row],[Year]],WeatherData[[#This Row],[Month]],WeatherData[[#This Row],[Day]])</f>
        <v>43836</v>
      </c>
      <c r="G7" s="2" t="str">
        <f>TEXT(WeatherData[[#This Row],[Date]], "mmmm")</f>
        <v>January</v>
      </c>
      <c r="H7" s="16">
        <v>0.6</v>
      </c>
      <c r="I7" s="16">
        <v>28</v>
      </c>
      <c r="J7" s="16">
        <v>13.3</v>
      </c>
      <c r="K7" s="6">
        <f t="shared" si="0"/>
        <v>14.7</v>
      </c>
      <c r="L7" s="4" t="str">
        <f t="shared" si="1"/>
        <v>Normal</v>
      </c>
      <c r="N7" s="13"/>
    </row>
    <row r="8" spans="1:18" ht="18" customHeight="1" x14ac:dyDescent="0.3">
      <c r="A8" s="1">
        <v>23034</v>
      </c>
      <c r="B8" s="1" t="str">
        <f>VLOOKUP( WeatherData[[#This Row],[Station Number]], 'Station Numbers'!A:B,2,FALSE)</f>
        <v xml:space="preserve">Adelaide Airport </v>
      </c>
      <c r="C8" s="1">
        <v>2020</v>
      </c>
      <c r="D8" s="1">
        <v>1</v>
      </c>
      <c r="E8" s="1">
        <v>7</v>
      </c>
      <c r="F8" s="2">
        <f>DATE(WeatherData[[#This Row],[Year]],WeatherData[[#This Row],[Month]],WeatherData[[#This Row],[Day]])</f>
        <v>43837</v>
      </c>
      <c r="G8" s="2" t="str">
        <f>TEXT(WeatherData[[#This Row],[Date]], "mmmm")</f>
        <v>January</v>
      </c>
      <c r="H8" s="16">
        <v>0</v>
      </c>
      <c r="I8" s="16">
        <v>31.7</v>
      </c>
      <c r="J8" s="16">
        <v>15</v>
      </c>
      <c r="K8" s="6">
        <f t="shared" si="0"/>
        <v>16.7</v>
      </c>
      <c r="L8" s="4" t="str">
        <f t="shared" si="1"/>
        <v>Normal</v>
      </c>
      <c r="N8" s="13"/>
    </row>
    <row r="9" spans="1:18" ht="18" customHeight="1" x14ac:dyDescent="0.3">
      <c r="A9" s="1">
        <v>23034</v>
      </c>
      <c r="B9" s="1" t="str">
        <f>VLOOKUP( WeatherData[[#This Row],[Station Number]], 'Station Numbers'!A:B,2,FALSE)</f>
        <v xml:space="preserve">Adelaide Airport </v>
      </c>
      <c r="C9" s="1">
        <v>2020</v>
      </c>
      <c r="D9" s="1">
        <v>1</v>
      </c>
      <c r="E9" s="1">
        <v>8</v>
      </c>
      <c r="F9" s="2">
        <f>DATE(WeatherData[[#This Row],[Year]],WeatherData[[#This Row],[Month]],WeatherData[[#This Row],[Day]])</f>
        <v>43838</v>
      </c>
      <c r="G9" s="2" t="str">
        <f>TEXT(WeatherData[[#This Row],[Date]], "mmmm")</f>
        <v>January</v>
      </c>
      <c r="H9" s="16">
        <v>0</v>
      </c>
      <c r="I9" s="16">
        <v>34.1</v>
      </c>
      <c r="J9" s="16">
        <v>21.3</v>
      </c>
      <c r="K9" s="6">
        <f t="shared" si="0"/>
        <v>12.8</v>
      </c>
      <c r="L9" s="4" t="str">
        <f t="shared" si="1"/>
        <v>Normal</v>
      </c>
      <c r="N9" s="83"/>
    </row>
    <row r="10" spans="1:18" ht="18" customHeight="1" x14ac:dyDescent="0.3">
      <c r="A10" s="1">
        <v>23034</v>
      </c>
      <c r="B10" s="1" t="str">
        <f>VLOOKUP( WeatherData[[#This Row],[Station Number]], 'Station Numbers'!A:B,2,FALSE)</f>
        <v xml:space="preserve">Adelaide Airport </v>
      </c>
      <c r="C10" s="1">
        <v>2020</v>
      </c>
      <c r="D10" s="1">
        <v>1</v>
      </c>
      <c r="E10" s="1">
        <v>9</v>
      </c>
      <c r="F10" s="2">
        <f>DATE(WeatherData[[#This Row],[Year]],WeatherData[[#This Row],[Month]],WeatherData[[#This Row],[Day]])</f>
        <v>43839</v>
      </c>
      <c r="G10" s="2" t="str">
        <f>TEXT(WeatherData[[#This Row],[Date]], "mmmm")</f>
        <v>January</v>
      </c>
      <c r="H10" s="16">
        <v>0</v>
      </c>
      <c r="I10" s="16">
        <v>40.700000000000003</v>
      </c>
      <c r="J10" s="16">
        <v>19.3</v>
      </c>
      <c r="K10" s="6">
        <f t="shared" si="0"/>
        <v>21.400000000000002</v>
      </c>
      <c r="L10" s="4" t="str">
        <f t="shared" si="1"/>
        <v>Heatwave</v>
      </c>
      <c r="N10" s="83"/>
    </row>
    <row r="11" spans="1:18" ht="18" customHeight="1" x14ac:dyDescent="0.3">
      <c r="A11" s="1">
        <v>23034</v>
      </c>
      <c r="B11" s="1" t="str">
        <f>VLOOKUP( WeatherData[[#This Row],[Station Number]], 'Station Numbers'!A:B,2,FALSE)</f>
        <v xml:space="preserve">Adelaide Airport </v>
      </c>
      <c r="C11" s="1">
        <v>2020</v>
      </c>
      <c r="D11" s="1">
        <v>1</v>
      </c>
      <c r="E11" s="1">
        <v>10</v>
      </c>
      <c r="F11" s="2">
        <f>DATE(WeatherData[[#This Row],[Year]],WeatherData[[#This Row],[Month]],WeatherData[[#This Row],[Day]])</f>
        <v>43840</v>
      </c>
      <c r="G11" s="2" t="str">
        <f>TEXT(WeatherData[[#This Row],[Date]], "mmmm")</f>
        <v>January</v>
      </c>
      <c r="H11" s="16">
        <v>0</v>
      </c>
      <c r="I11" s="16">
        <v>22.4</v>
      </c>
      <c r="J11" s="16">
        <v>22</v>
      </c>
      <c r="K11" s="6">
        <f t="shared" si="0"/>
        <v>0.39999999999999858</v>
      </c>
      <c r="L11" s="4" t="str">
        <f t="shared" si="1"/>
        <v>Normal</v>
      </c>
      <c r="N11" s="83"/>
    </row>
    <row r="12" spans="1:18" ht="18" customHeight="1" x14ac:dyDescent="0.3">
      <c r="A12" s="1">
        <v>23034</v>
      </c>
      <c r="B12" s="1" t="str">
        <f>VLOOKUP( WeatherData[[#This Row],[Station Number]], 'Station Numbers'!A:B,2,FALSE)</f>
        <v xml:space="preserve">Adelaide Airport </v>
      </c>
      <c r="C12" s="1">
        <v>2020</v>
      </c>
      <c r="D12" s="1">
        <v>1</v>
      </c>
      <c r="E12" s="1">
        <v>11</v>
      </c>
      <c r="F12" s="2">
        <f>DATE(WeatherData[[#This Row],[Year]],WeatherData[[#This Row],[Month]],WeatherData[[#This Row],[Day]])</f>
        <v>43841</v>
      </c>
      <c r="G12" s="2" t="str">
        <f>TEXT(WeatherData[[#This Row],[Date]], "mmmm")</f>
        <v>January</v>
      </c>
      <c r="H12" s="16">
        <v>1.4</v>
      </c>
      <c r="I12" s="16">
        <v>23.8</v>
      </c>
      <c r="J12" s="16">
        <v>14.3</v>
      </c>
      <c r="K12" s="6">
        <f t="shared" si="0"/>
        <v>9.5</v>
      </c>
      <c r="L12" s="4" t="str">
        <f t="shared" si="1"/>
        <v>Normal</v>
      </c>
      <c r="N12" s="13"/>
    </row>
    <row r="13" spans="1:18" ht="18" customHeight="1" x14ac:dyDescent="0.3">
      <c r="A13" s="1">
        <v>23034</v>
      </c>
      <c r="B13" s="1" t="str">
        <f>VLOOKUP( WeatherData[[#This Row],[Station Number]], 'Station Numbers'!A:B,2,FALSE)</f>
        <v xml:space="preserve">Adelaide Airport </v>
      </c>
      <c r="C13" s="1">
        <v>2020</v>
      </c>
      <c r="D13" s="1">
        <v>1</v>
      </c>
      <c r="E13" s="1">
        <v>12</v>
      </c>
      <c r="F13" s="2">
        <f>DATE(WeatherData[[#This Row],[Year]],WeatherData[[#This Row],[Month]],WeatherData[[#This Row],[Day]])</f>
        <v>43842</v>
      </c>
      <c r="G13" s="2" t="str">
        <f>TEXT(WeatherData[[#This Row],[Date]], "mmmm")</f>
        <v>January</v>
      </c>
      <c r="H13" s="16">
        <v>0</v>
      </c>
      <c r="I13" s="16">
        <v>29.8</v>
      </c>
      <c r="J13" s="16">
        <v>13.2</v>
      </c>
      <c r="K13" s="6">
        <f t="shared" si="0"/>
        <v>16.600000000000001</v>
      </c>
      <c r="L13" s="4" t="str">
        <f t="shared" si="1"/>
        <v>Normal</v>
      </c>
      <c r="N13" s="13"/>
    </row>
    <row r="14" spans="1:18" ht="18" customHeight="1" x14ac:dyDescent="0.3">
      <c r="A14" s="1">
        <v>23034</v>
      </c>
      <c r="B14" s="1" t="str">
        <f>VLOOKUP( WeatherData[[#This Row],[Station Number]], 'Station Numbers'!A:B,2,FALSE)</f>
        <v xml:space="preserve">Adelaide Airport </v>
      </c>
      <c r="C14" s="1">
        <v>2020</v>
      </c>
      <c r="D14" s="1">
        <v>1</v>
      </c>
      <c r="E14" s="1">
        <v>13</v>
      </c>
      <c r="F14" s="2">
        <f>DATE(WeatherData[[#This Row],[Year]],WeatherData[[#This Row],[Month]],WeatherData[[#This Row],[Day]])</f>
        <v>43843</v>
      </c>
      <c r="G14" s="2" t="str">
        <f>TEXT(WeatherData[[#This Row],[Date]], "mmmm")</f>
        <v>January</v>
      </c>
      <c r="H14" s="16">
        <v>0</v>
      </c>
      <c r="I14" s="16">
        <v>31.7</v>
      </c>
      <c r="J14" s="16">
        <v>15.2</v>
      </c>
      <c r="K14" s="6">
        <f t="shared" si="0"/>
        <v>16.5</v>
      </c>
      <c r="L14" s="4" t="str">
        <f t="shared" si="1"/>
        <v>Normal</v>
      </c>
      <c r="N14" s="13"/>
    </row>
    <row r="15" spans="1:18" ht="18" customHeight="1" x14ac:dyDescent="0.3">
      <c r="A15" s="1">
        <v>23034</v>
      </c>
      <c r="B15" s="1" t="str">
        <f>VLOOKUP( WeatherData[[#This Row],[Station Number]], 'Station Numbers'!A:B,2,FALSE)</f>
        <v xml:space="preserve">Adelaide Airport </v>
      </c>
      <c r="C15" s="1">
        <v>2020</v>
      </c>
      <c r="D15" s="1">
        <v>1</v>
      </c>
      <c r="E15" s="1">
        <v>14</v>
      </c>
      <c r="F15" s="2">
        <f>DATE(WeatherData[[#This Row],[Year]],WeatherData[[#This Row],[Month]],WeatherData[[#This Row],[Day]])</f>
        <v>43844</v>
      </c>
      <c r="G15" s="2" t="str">
        <f>TEXT(WeatherData[[#This Row],[Date]], "mmmm")</f>
        <v>January</v>
      </c>
      <c r="H15" s="16">
        <v>0</v>
      </c>
      <c r="I15" s="16">
        <v>28.4</v>
      </c>
      <c r="J15" s="16">
        <v>17.8</v>
      </c>
      <c r="K15" s="6">
        <f t="shared" si="0"/>
        <v>10.599999999999998</v>
      </c>
      <c r="L15" s="4" t="str">
        <f t="shared" si="1"/>
        <v>Normal</v>
      </c>
      <c r="N15" s="13"/>
    </row>
    <row r="16" spans="1:18" ht="18" customHeight="1" x14ac:dyDescent="0.3">
      <c r="A16" s="1">
        <v>23034</v>
      </c>
      <c r="B16" s="1" t="str">
        <f>VLOOKUP( WeatherData[[#This Row],[Station Number]], 'Station Numbers'!A:B,2,FALSE)</f>
        <v xml:space="preserve">Adelaide Airport </v>
      </c>
      <c r="C16" s="1">
        <v>2020</v>
      </c>
      <c r="D16" s="1">
        <v>1</v>
      </c>
      <c r="E16" s="1">
        <v>15</v>
      </c>
      <c r="F16" s="2">
        <f>DATE(WeatherData[[#This Row],[Year]],WeatherData[[#This Row],[Month]],WeatherData[[#This Row],[Day]])</f>
        <v>43845</v>
      </c>
      <c r="G16" s="2" t="str">
        <f>TEXT(WeatherData[[#This Row],[Date]], "mmmm")</f>
        <v>January</v>
      </c>
      <c r="H16" s="16">
        <v>0</v>
      </c>
      <c r="I16" s="16">
        <v>24.7</v>
      </c>
      <c r="J16" s="16">
        <v>17.3</v>
      </c>
      <c r="K16" s="6">
        <f t="shared" si="0"/>
        <v>7.3999999999999986</v>
      </c>
      <c r="L16" s="4" t="str">
        <f t="shared" si="1"/>
        <v>Normal</v>
      </c>
      <c r="N16" s="13"/>
    </row>
    <row r="17" spans="1:12" ht="18" customHeight="1" x14ac:dyDescent="0.3">
      <c r="A17" s="1">
        <v>23034</v>
      </c>
      <c r="B17" s="1" t="str">
        <f>VLOOKUP( WeatherData[[#This Row],[Station Number]], 'Station Numbers'!A:B,2,FALSE)</f>
        <v xml:space="preserve">Adelaide Airport </v>
      </c>
      <c r="C17" s="1">
        <v>2020</v>
      </c>
      <c r="D17" s="1">
        <v>1</v>
      </c>
      <c r="E17" s="1">
        <v>16</v>
      </c>
      <c r="F17" s="2">
        <f>DATE(WeatherData[[#This Row],[Year]],WeatherData[[#This Row],[Month]],WeatherData[[#This Row],[Day]])</f>
        <v>43846</v>
      </c>
      <c r="G17" s="2" t="str">
        <f>TEXT(WeatherData[[#This Row],[Date]], "mmmm")</f>
        <v>January</v>
      </c>
      <c r="H17" s="16">
        <v>0</v>
      </c>
      <c r="I17" s="16">
        <v>24.1</v>
      </c>
      <c r="J17" s="16">
        <v>16</v>
      </c>
      <c r="K17" s="6">
        <f t="shared" si="0"/>
        <v>8.1000000000000014</v>
      </c>
      <c r="L17" s="4" t="str">
        <f t="shared" si="1"/>
        <v>Normal</v>
      </c>
    </row>
    <row r="18" spans="1:12" ht="18" customHeight="1" x14ac:dyDescent="0.3">
      <c r="A18" s="1">
        <v>23034</v>
      </c>
      <c r="B18" s="1" t="str">
        <f>VLOOKUP( WeatherData[[#This Row],[Station Number]], 'Station Numbers'!A:B,2,FALSE)</f>
        <v xml:space="preserve">Adelaide Airport </v>
      </c>
      <c r="C18" s="1">
        <v>2020</v>
      </c>
      <c r="D18" s="1">
        <v>1</v>
      </c>
      <c r="E18" s="1">
        <v>17</v>
      </c>
      <c r="F18" s="2">
        <f>DATE(WeatherData[[#This Row],[Year]],WeatherData[[#This Row],[Month]],WeatherData[[#This Row],[Day]])</f>
        <v>43847</v>
      </c>
      <c r="G18" s="2" t="str">
        <f>TEXT(WeatherData[[#This Row],[Date]], "mmmm")</f>
        <v>January</v>
      </c>
      <c r="H18" s="16">
        <v>0</v>
      </c>
      <c r="I18" s="16">
        <v>23.9</v>
      </c>
      <c r="J18" s="16">
        <v>12.9</v>
      </c>
      <c r="K18" s="6">
        <f t="shared" si="0"/>
        <v>10.999999999999998</v>
      </c>
      <c r="L18" s="4" t="str">
        <f t="shared" si="1"/>
        <v>Normal</v>
      </c>
    </row>
    <row r="19" spans="1:12" ht="18" customHeight="1" x14ac:dyDescent="0.3">
      <c r="A19" s="1">
        <v>23034</v>
      </c>
      <c r="B19" s="1" t="str">
        <f>VLOOKUP( WeatherData[[#This Row],[Station Number]], 'Station Numbers'!A:B,2,FALSE)</f>
        <v xml:space="preserve">Adelaide Airport </v>
      </c>
      <c r="C19" s="1">
        <v>2020</v>
      </c>
      <c r="D19" s="1">
        <v>1</v>
      </c>
      <c r="E19" s="1">
        <v>18</v>
      </c>
      <c r="F19" s="2">
        <f>DATE(WeatherData[[#This Row],[Year]],WeatherData[[#This Row],[Month]],WeatherData[[#This Row],[Day]])</f>
        <v>43848</v>
      </c>
      <c r="G19" s="2" t="str">
        <f>TEXT(WeatherData[[#This Row],[Date]], "mmmm")</f>
        <v>January</v>
      </c>
      <c r="H19" s="16">
        <v>0</v>
      </c>
      <c r="I19" s="16">
        <v>23.8</v>
      </c>
      <c r="J19" s="16">
        <v>13.8</v>
      </c>
      <c r="K19" s="6">
        <f t="shared" si="0"/>
        <v>10</v>
      </c>
      <c r="L19" s="4" t="str">
        <f t="shared" si="1"/>
        <v>Normal</v>
      </c>
    </row>
    <row r="20" spans="1:12" ht="18" customHeight="1" x14ac:dyDescent="0.3">
      <c r="A20" s="1">
        <v>23034</v>
      </c>
      <c r="B20" s="1" t="str">
        <f>VLOOKUP( WeatherData[[#This Row],[Station Number]], 'Station Numbers'!A:B,2,FALSE)</f>
        <v xml:space="preserve">Adelaide Airport </v>
      </c>
      <c r="C20" s="1">
        <v>2020</v>
      </c>
      <c r="D20" s="1">
        <v>1</v>
      </c>
      <c r="E20" s="1">
        <v>19</v>
      </c>
      <c r="F20" s="2">
        <f>DATE(WeatherData[[#This Row],[Year]],WeatherData[[#This Row],[Month]],WeatherData[[#This Row],[Day]])</f>
        <v>43849</v>
      </c>
      <c r="G20" s="2" t="str">
        <f>TEXT(WeatherData[[#This Row],[Date]], "mmmm")</f>
        <v>January</v>
      </c>
      <c r="H20" s="16">
        <v>0</v>
      </c>
      <c r="I20" s="16">
        <v>23.2</v>
      </c>
      <c r="J20" s="16">
        <v>16.399999999999999</v>
      </c>
      <c r="K20" s="6">
        <f t="shared" si="0"/>
        <v>6.8000000000000007</v>
      </c>
      <c r="L20" s="4" t="str">
        <f t="shared" si="1"/>
        <v>Normal</v>
      </c>
    </row>
    <row r="21" spans="1:12" ht="18" customHeight="1" x14ac:dyDescent="0.3">
      <c r="A21" s="1">
        <v>23034</v>
      </c>
      <c r="B21" s="1" t="str">
        <f>VLOOKUP( WeatherData[[#This Row],[Station Number]], 'Station Numbers'!A:B,2,FALSE)</f>
        <v xml:space="preserve">Adelaide Airport </v>
      </c>
      <c r="C21" s="1">
        <v>2020</v>
      </c>
      <c r="D21" s="1">
        <v>1</v>
      </c>
      <c r="E21" s="1">
        <v>20</v>
      </c>
      <c r="F21" s="2">
        <f>DATE(WeatherData[[#This Row],[Year]],WeatherData[[#This Row],[Month]],WeatherData[[#This Row],[Day]])</f>
        <v>43850</v>
      </c>
      <c r="G21" s="2" t="str">
        <f>TEXT(WeatherData[[#This Row],[Date]], "mmmm")</f>
        <v>January</v>
      </c>
      <c r="H21" s="16">
        <v>9</v>
      </c>
      <c r="I21" s="16">
        <v>20</v>
      </c>
      <c r="J21" s="16">
        <v>15.5</v>
      </c>
      <c r="K21" s="6">
        <f t="shared" si="0"/>
        <v>4.5</v>
      </c>
      <c r="L21" s="4" t="str">
        <f t="shared" si="1"/>
        <v>Normal</v>
      </c>
    </row>
    <row r="22" spans="1:12" ht="18" customHeight="1" x14ac:dyDescent="0.3">
      <c r="A22" s="1">
        <v>23034</v>
      </c>
      <c r="B22" s="1" t="str">
        <f>VLOOKUP( WeatherData[[#This Row],[Station Number]], 'Station Numbers'!A:B,2,FALSE)</f>
        <v xml:space="preserve">Adelaide Airport </v>
      </c>
      <c r="C22" s="1">
        <v>2020</v>
      </c>
      <c r="D22" s="1">
        <v>1</v>
      </c>
      <c r="E22" s="1">
        <v>21</v>
      </c>
      <c r="F22" s="2">
        <f>DATE(WeatherData[[#This Row],[Year]],WeatherData[[#This Row],[Month]],WeatherData[[#This Row],[Day]])</f>
        <v>43851</v>
      </c>
      <c r="G22" s="2" t="str">
        <f>TEXT(WeatherData[[#This Row],[Date]], "mmmm")</f>
        <v>January</v>
      </c>
      <c r="H22" s="16">
        <v>0</v>
      </c>
      <c r="I22" s="16">
        <v>26.7</v>
      </c>
      <c r="J22" s="16">
        <v>15.8</v>
      </c>
      <c r="K22" s="6">
        <f t="shared" si="0"/>
        <v>10.899999999999999</v>
      </c>
      <c r="L22" s="4" t="str">
        <f t="shared" si="1"/>
        <v>Normal</v>
      </c>
    </row>
    <row r="23" spans="1:12" ht="18" customHeight="1" x14ac:dyDescent="0.3">
      <c r="A23" s="1">
        <v>23034</v>
      </c>
      <c r="B23" s="1" t="str">
        <f>VLOOKUP( WeatherData[[#This Row],[Station Number]], 'Station Numbers'!A:B,2,FALSE)</f>
        <v xml:space="preserve">Adelaide Airport </v>
      </c>
      <c r="C23" s="1">
        <v>2020</v>
      </c>
      <c r="D23" s="1">
        <v>1</v>
      </c>
      <c r="E23" s="1">
        <v>22</v>
      </c>
      <c r="F23" s="2">
        <f>DATE(WeatherData[[#This Row],[Year]],WeatherData[[#This Row],[Month]],WeatherData[[#This Row],[Day]])</f>
        <v>43852</v>
      </c>
      <c r="G23" s="2" t="str">
        <f>TEXT(WeatherData[[#This Row],[Date]], "mmmm")</f>
        <v>January</v>
      </c>
      <c r="H23" s="16">
        <v>0</v>
      </c>
      <c r="I23" s="16">
        <v>25.1</v>
      </c>
      <c r="J23" s="16">
        <v>17.7</v>
      </c>
      <c r="K23" s="6">
        <f t="shared" si="0"/>
        <v>7.4000000000000021</v>
      </c>
      <c r="L23" s="4" t="str">
        <f t="shared" si="1"/>
        <v>Normal</v>
      </c>
    </row>
    <row r="24" spans="1:12" ht="18" customHeight="1" x14ac:dyDescent="0.3">
      <c r="A24" s="1">
        <v>23034</v>
      </c>
      <c r="B24" s="1" t="str">
        <f>VLOOKUP( WeatherData[[#This Row],[Station Number]], 'Station Numbers'!A:B,2,FALSE)</f>
        <v xml:space="preserve">Adelaide Airport </v>
      </c>
      <c r="C24" s="1">
        <v>2020</v>
      </c>
      <c r="D24" s="1">
        <v>1</v>
      </c>
      <c r="E24" s="1">
        <v>23</v>
      </c>
      <c r="F24" s="2">
        <f>DATE(WeatherData[[#This Row],[Year]],WeatherData[[#This Row],[Month]],WeatherData[[#This Row],[Day]])</f>
        <v>43853</v>
      </c>
      <c r="G24" s="2" t="str">
        <f>TEXT(WeatherData[[#This Row],[Date]], "mmmm")</f>
        <v>January</v>
      </c>
      <c r="H24" s="16">
        <v>2.8</v>
      </c>
      <c r="I24" s="16">
        <v>20.399999999999999</v>
      </c>
      <c r="J24" s="16">
        <v>14.7</v>
      </c>
      <c r="K24" s="6">
        <f t="shared" si="0"/>
        <v>5.6999999999999993</v>
      </c>
      <c r="L24" s="4" t="str">
        <f t="shared" si="1"/>
        <v>Normal</v>
      </c>
    </row>
    <row r="25" spans="1:12" ht="18" customHeight="1" x14ac:dyDescent="0.3">
      <c r="A25" s="1">
        <v>23034</v>
      </c>
      <c r="B25" s="1" t="str">
        <f>VLOOKUP( WeatherData[[#This Row],[Station Number]], 'Station Numbers'!A:B,2,FALSE)</f>
        <v xml:space="preserve">Adelaide Airport </v>
      </c>
      <c r="C25" s="1">
        <v>2020</v>
      </c>
      <c r="D25" s="1">
        <v>1</v>
      </c>
      <c r="E25" s="1">
        <v>24</v>
      </c>
      <c r="F25" s="2">
        <f>DATE(WeatherData[[#This Row],[Year]],WeatherData[[#This Row],[Month]],WeatherData[[#This Row],[Day]])</f>
        <v>43854</v>
      </c>
      <c r="G25" s="2" t="str">
        <f>TEXT(WeatherData[[#This Row],[Date]], "mmmm")</f>
        <v>January</v>
      </c>
      <c r="H25" s="16">
        <v>0</v>
      </c>
      <c r="I25" s="16">
        <v>22</v>
      </c>
      <c r="J25" s="16">
        <v>16.600000000000001</v>
      </c>
      <c r="K25" s="6">
        <f t="shared" si="0"/>
        <v>5.3999999999999986</v>
      </c>
      <c r="L25" s="4" t="str">
        <f t="shared" si="1"/>
        <v>Normal</v>
      </c>
    </row>
    <row r="26" spans="1:12" ht="18" customHeight="1" x14ac:dyDescent="0.3">
      <c r="A26" s="1">
        <v>23034</v>
      </c>
      <c r="B26" s="1" t="str">
        <f>VLOOKUP( WeatherData[[#This Row],[Station Number]], 'Station Numbers'!A:B,2,FALSE)</f>
        <v xml:space="preserve">Adelaide Airport </v>
      </c>
      <c r="C26" s="1">
        <v>2020</v>
      </c>
      <c r="D26" s="1">
        <v>1</v>
      </c>
      <c r="E26" s="1">
        <v>25</v>
      </c>
      <c r="F26" s="2">
        <f>DATE(WeatherData[[#This Row],[Year]],WeatherData[[#This Row],[Month]],WeatherData[[#This Row],[Day]])</f>
        <v>43855</v>
      </c>
      <c r="G26" s="2" t="str">
        <f>TEXT(WeatherData[[#This Row],[Date]], "mmmm")</f>
        <v>January</v>
      </c>
      <c r="H26" s="16">
        <v>0</v>
      </c>
      <c r="I26" s="16">
        <v>24</v>
      </c>
      <c r="J26" s="16">
        <v>16.5</v>
      </c>
      <c r="K26" s="6">
        <f t="shared" si="0"/>
        <v>7.5</v>
      </c>
      <c r="L26" s="4" t="str">
        <f t="shared" si="1"/>
        <v>Normal</v>
      </c>
    </row>
    <row r="27" spans="1:12" ht="18" customHeight="1" x14ac:dyDescent="0.3">
      <c r="A27" s="1">
        <v>23034</v>
      </c>
      <c r="B27" s="1" t="str">
        <f>VLOOKUP( WeatherData[[#This Row],[Station Number]], 'Station Numbers'!A:B,2,FALSE)</f>
        <v xml:space="preserve">Adelaide Airport </v>
      </c>
      <c r="C27" s="1">
        <v>2020</v>
      </c>
      <c r="D27" s="1">
        <v>1</v>
      </c>
      <c r="E27" s="1">
        <v>26</v>
      </c>
      <c r="F27" s="2">
        <f>DATE(WeatherData[[#This Row],[Year]],WeatherData[[#This Row],[Month]],WeatherData[[#This Row],[Day]])</f>
        <v>43856</v>
      </c>
      <c r="G27" s="2" t="str">
        <f>TEXT(WeatherData[[#This Row],[Date]], "mmmm")</f>
        <v>January</v>
      </c>
      <c r="H27" s="16">
        <v>0</v>
      </c>
      <c r="I27" s="16">
        <v>23.6</v>
      </c>
      <c r="J27" s="16">
        <v>16.399999999999999</v>
      </c>
      <c r="K27" s="6">
        <f t="shared" si="0"/>
        <v>7.2000000000000028</v>
      </c>
      <c r="L27" s="4" t="str">
        <f t="shared" si="1"/>
        <v>Normal</v>
      </c>
    </row>
    <row r="28" spans="1:12" ht="18" customHeight="1" x14ac:dyDescent="0.3">
      <c r="A28" s="1">
        <v>23034</v>
      </c>
      <c r="B28" s="1" t="str">
        <f>VLOOKUP( WeatherData[[#This Row],[Station Number]], 'Station Numbers'!A:B,2,FALSE)</f>
        <v xml:space="preserve">Adelaide Airport </v>
      </c>
      <c r="C28" s="1">
        <v>2020</v>
      </c>
      <c r="D28" s="1">
        <v>1</v>
      </c>
      <c r="E28" s="1">
        <v>27</v>
      </c>
      <c r="F28" s="2">
        <f>DATE(WeatherData[[#This Row],[Year]],WeatherData[[#This Row],[Month]],WeatherData[[#This Row],[Day]])</f>
        <v>43857</v>
      </c>
      <c r="G28" s="2" t="str">
        <f>TEXT(WeatherData[[#This Row],[Date]], "mmmm")</f>
        <v>January</v>
      </c>
      <c r="H28" s="16">
        <v>0</v>
      </c>
      <c r="I28" s="16">
        <v>26.4</v>
      </c>
      <c r="J28" s="16">
        <v>14.7</v>
      </c>
      <c r="K28" s="6">
        <f t="shared" si="0"/>
        <v>11.7</v>
      </c>
      <c r="L28" s="4" t="str">
        <f t="shared" si="1"/>
        <v>Normal</v>
      </c>
    </row>
    <row r="29" spans="1:12" ht="18" customHeight="1" x14ac:dyDescent="0.3">
      <c r="A29" s="1">
        <v>23034</v>
      </c>
      <c r="B29" s="1" t="str">
        <f>VLOOKUP( WeatherData[[#This Row],[Station Number]], 'Station Numbers'!A:B,2,FALSE)</f>
        <v xml:space="preserve">Adelaide Airport </v>
      </c>
      <c r="C29" s="1">
        <v>2020</v>
      </c>
      <c r="D29" s="1">
        <v>1</v>
      </c>
      <c r="E29" s="1">
        <v>28</v>
      </c>
      <c r="F29" s="2">
        <f>DATE(WeatherData[[#This Row],[Year]],WeatherData[[#This Row],[Month]],WeatherData[[#This Row],[Day]])</f>
        <v>43858</v>
      </c>
      <c r="G29" s="2" t="str">
        <f>TEXT(WeatherData[[#This Row],[Date]], "mmmm")</f>
        <v>January</v>
      </c>
      <c r="H29" s="16">
        <v>0</v>
      </c>
      <c r="I29" s="16">
        <v>25.3</v>
      </c>
      <c r="J29" s="16">
        <v>13.2</v>
      </c>
      <c r="K29" s="6">
        <f t="shared" si="0"/>
        <v>12.100000000000001</v>
      </c>
      <c r="L29" s="4" t="str">
        <f t="shared" si="1"/>
        <v>Normal</v>
      </c>
    </row>
    <row r="30" spans="1:12" ht="18" customHeight="1" x14ac:dyDescent="0.3">
      <c r="A30" s="1">
        <v>23034</v>
      </c>
      <c r="B30" s="1" t="str">
        <f>VLOOKUP( WeatherData[[#This Row],[Station Number]], 'Station Numbers'!A:B,2,FALSE)</f>
        <v xml:space="preserve">Adelaide Airport </v>
      </c>
      <c r="C30" s="1">
        <v>2020</v>
      </c>
      <c r="D30" s="1">
        <v>1</v>
      </c>
      <c r="E30" s="1">
        <v>29</v>
      </c>
      <c r="F30" s="2">
        <f>DATE(WeatherData[[#This Row],[Year]],WeatherData[[#This Row],[Month]],WeatherData[[#This Row],[Day]])</f>
        <v>43859</v>
      </c>
      <c r="G30" s="2" t="str">
        <f>TEXT(WeatherData[[#This Row],[Date]], "mmmm")</f>
        <v>January</v>
      </c>
      <c r="H30" s="16">
        <v>0</v>
      </c>
      <c r="I30" s="16">
        <v>34.799999999999997</v>
      </c>
      <c r="J30" s="16">
        <v>14.1</v>
      </c>
      <c r="K30" s="6">
        <f t="shared" si="0"/>
        <v>20.699999999999996</v>
      </c>
      <c r="L30" s="4" t="str">
        <f t="shared" si="1"/>
        <v>Normal</v>
      </c>
    </row>
    <row r="31" spans="1:12" ht="18" customHeight="1" x14ac:dyDescent="0.3">
      <c r="A31" s="1">
        <v>23034</v>
      </c>
      <c r="B31" s="1" t="str">
        <f>VLOOKUP( WeatherData[[#This Row],[Station Number]], 'Station Numbers'!A:B,2,FALSE)</f>
        <v xml:space="preserve">Adelaide Airport </v>
      </c>
      <c r="C31" s="1">
        <v>2020</v>
      </c>
      <c r="D31" s="1">
        <v>1</v>
      </c>
      <c r="E31" s="1">
        <v>30</v>
      </c>
      <c r="F31" s="2">
        <f>DATE(WeatherData[[#This Row],[Year]],WeatherData[[#This Row],[Month]],WeatherData[[#This Row],[Day]])</f>
        <v>43860</v>
      </c>
      <c r="G31" s="2" t="str">
        <f>TEXT(WeatherData[[#This Row],[Date]], "mmmm")</f>
        <v>January</v>
      </c>
      <c r="H31" s="16">
        <v>0</v>
      </c>
      <c r="I31" s="16">
        <v>42.3</v>
      </c>
      <c r="J31" s="16">
        <v>20.3</v>
      </c>
      <c r="K31" s="6">
        <f t="shared" si="0"/>
        <v>21.999999999999996</v>
      </c>
      <c r="L31" s="4" t="str">
        <f t="shared" si="1"/>
        <v>Heatwave</v>
      </c>
    </row>
    <row r="32" spans="1:12" ht="18" customHeight="1" x14ac:dyDescent="0.3">
      <c r="A32" s="1">
        <v>23034</v>
      </c>
      <c r="B32" s="1" t="str">
        <f>VLOOKUP( WeatherData[[#This Row],[Station Number]], 'Station Numbers'!A:B,2,FALSE)</f>
        <v xml:space="preserve">Adelaide Airport </v>
      </c>
      <c r="C32" s="1">
        <v>2020</v>
      </c>
      <c r="D32" s="1">
        <v>1</v>
      </c>
      <c r="E32" s="1">
        <v>31</v>
      </c>
      <c r="F32" s="2">
        <f>DATE(WeatherData[[#This Row],[Year]],WeatherData[[#This Row],[Month]],WeatherData[[#This Row],[Day]])</f>
        <v>43861</v>
      </c>
      <c r="G32" s="2" t="str">
        <f>TEXT(WeatherData[[#This Row],[Date]], "mmmm")</f>
        <v>January</v>
      </c>
      <c r="H32" s="16">
        <v>0</v>
      </c>
      <c r="I32" s="16">
        <v>35.5</v>
      </c>
      <c r="J32" s="16">
        <v>27.7</v>
      </c>
      <c r="K32" s="6">
        <f t="shared" si="0"/>
        <v>7.8000000000000007</v>
      </c>
      <c r="L32" s="4" t="str">
        <f t="shared" si="1"/>
        <v>Heatwave</v>
      </c>
    </row>
    <row r="33" spans="1:12" ht="18" customHeight="1" x14ac:dyDescent="0.3">
      <c r="A33" s="1">
        <v>23034</v>
      </c>
      <c r="B33" s="1" t="str">
        <f>VLOOKUP( WeatherData[[#This Row],[Station Number]], 'Station Numbers'!A:B,2,FALSE)</f>
        <v xml:space="preserve">Adelaide Airport </v>
      </c>
      <c r="C33" s="1">
        <v>2020</v>
      </c>
      <c r="D33" s="1">
        <v>2</v>
      </c>
      <c r="E33" s="1">
        <v>1</v>
      </c>
      <c r="F33" s="2">
        <f>DATE(WeatherData[[#This Row],[Year]],WeatherData[[#This Row],[Month]],WeatherData[[#This Row],[Day]])</f>
        <v>43862</v>
      </c>
      <c r="G33" s="2" t="str">
        <f>TEXT(WeatherData[[#This Row],[Date]], "mmmm")</f>
        <v>February</v>
      </c>
      <c r="H33" s="16">
        <v>29.6</v>
      </c>
      <c r="I33" s="16">
        <v>21</v>
      </c>
      <c r="J33" s="16">
        <v>20.2</v>
      </c>
      <c r="K33" s="6">
        <f t="shared" si="0"/>
        <v>0.80000000000000071</v>
      </c>
      <c r="L33" s="4" t="str">
        <f t="shared" si="1"/>
        <v>Heavy Rain</v>
      </c>
    </row>
    <row r="34" spans="1:12" ht="18" customHeight="1" x14ac:dyDescent="0.3">
      <c r="A34" s="1">
        <v>23034</v>
      </c>
      <c r="B34" s="1" t="str">
        <f>VLOOKUP( WeatherData[[#This Row],[Station Number]], 'Station Numbers'!A:B,2,FALSE)</f>
        <v xml:space="preserve">Adelaide Airport </v>
      </c>
      <c r="C34" s="1">
        <v>2020</v>
      </c>
      <c r="D34" s="1">
        <v>2</v>
      </c>
      <c r="E34" s="1">
        <v>2</v>
      </c>
      <c r="F34" s="2">
        <f>DATE(WeatherData[[#This Row],[Year]],WeatherData[[#This Row],[Month]],WeatherData[[#This Row],[Day]])</f>
        <v>43863</v>
      </c>
      <c r="G34" s="2" t="str">
        <f>TEXT(WeatherData[[#This Row],[Date]], "mmmm")</f>
        <v>February</v>
      </c>
      <c r="H34" s="16">
        <v>1.6</v>
      </c>
      <c r="I34" s="16">
        <v>22.4</v>
      </c>
      <c r="J34" s="16">
        <v>17.3</v>
      </c>
      <c r="K34" s="6">
        <f t="shared" si="0"/>
        <v>5.0999999999999979</v>
      </c>
      <c r="L34" s="4" t="str">
        <f t="shared" si="1"/>
        <v>Normal</v>
      </c>
    </row>
    <row r="35" spans="1:12" ht="18" customHeight="1" x14ac:dyDescent="0.3">
      <c r="A35" s="1">
        <v>23034</v>
      </c>
      <c r="B35" s="1" t="str">
        <f>VLOOKUP( WeatherData[[#This Row],[Station Number]], 'Station Numbers'!A:B,2,FALSE)</f>
        <v xml:space="preserve">Adelaide Airport </v>
      </c>
      <c r="C35" s="1">
        <v>2020</v>
      </c>
      <c r="D35" s="1">
        <v>2</v>
      </c>
      <c r="E35" s="1">
        <v>3</v>
      </c>
      <c r="F35" s="2">
        <f>DATE(WeatherData[[#This Row],[Year]],WeatherData[[#This Row],[Month]],WeatherData[[#This Row],[Day]])</f>
        <v>43864</v>
      </c>
      <c r="G35" s="2" t="str">
        <f>TEXT(WeatherData[[#This Row],[Date]], "mmmm")</f>
        <v>February</v>
      </c>
      <c r="H35" s="16">
        <v>0</v>
      </c>
      <c r="I35" s="16">
        <v>22.4</v>
      </c>
      <c r="J35" s="16">
        <v>15.4</v>
      </c>
      <c r="K35" s="6">
        <f t="shared" si="0"/>
        <v>6.9999999999999982</v>
      </c>
      <c r="L35" s="4" t="str">
        <f t="shared" si="1"/>
        <v>Normal</v>
      </c>
    </row>
    <row r="36" spans="1:12" ht="18" customHeight="1" x14ac:dyDescent="0.3">
      <c r="A36" s="1">
        <v>23034</v>
      </c>
      <c r="B36" s="1" t="str">
        <f>VLOOKUP( WeatherData[[#This Row],[Station Number]], 'Station Numbers'!A:B,2,FALSE)</f>
        <v xml:space="preserve">Adelaide Airport </v>
      </c>
      <c r="C36" s="1">
        <v>2020</v>
      </c>
      <c r="D36" s="1">
        <v>2</v>
      </c>
      <c r="E36" s="1">
        <v>4</v>
      </c>
      <c r="F36" s="2">
        <f>DATE(WeatherData[[#This Row],[Year]],WeatherData[[#This Row],[Month]],WeatherData[[#This Row],[Day]])</f>
        <v>43865</v>
      </c>
      <c r="G36" s="2" t="str">
        <f>TEXT(WeatherData[[#This Row],[Date]], "mmmm")</f>
        <v>February</v>
      </c>
      <c r="H36" s="16">
        <v>0</v>
      </c>
      <c r="I36" s="16">
        <v>25.6</v>
      </c>
      <c r="J36" s="16">
        <v>12.3</v>
      </c>
      <c r="K36" s="6">
        <f t="shared" si="0"/>
        <v>13.3</v>
      </c>
      <c r="L36" s="4" t="str">
        <f t="shared" si="1"/>
        <v>Normal</v>
      </c>
    </row>
    <row r="37" spans="1:12" ht="18" customHeight="1" x14ac:dyDescent="0.3">
      <c r="A37" s="1">
        <v>23034</v>
      </c>
      <c r="B37" s="1" t="str">
        <f>VLOOKUP( WeatherData[[#This Row],[Station Number]], 'Station Numbers'!A:B,2,FALSE)</f>
        <v xml:space="preserve">Adelaide Airport </v>
      </c>
      <c r="C37" s="1">
        <v>2020</v>
      </c>
      <c r="D37" s="1">
        <v>2</v>
      </c>
      <c r="E37" s="1">
        <v>5</v>
      </c>
      <c r="F37" s="2">
        <f>DATE(WeatherData[[#This Row],[Year]],WeatherData[[#This Row],[Month]],WeatherData[[#This Row],[Day]])</f>
        <v>43866</v>
      </c>
      <c r="G37" s="2" t="str">
        <f>TEXT(WeatherData[[#This Row],[Date]], "mmmm")</f>
        <v>February</v>
      </c>
      <c r="H37" s="16">
        <v>0</v>
      </c>
      <c r="I37" s="16">
        <v>27.5</v>
      </c>
      <c r="J37" s="16">
        <v>13.9</v>
      </c>
      <c r="K37" s="6">
        <f t="shared" si="0"/>
        <v>13.6</v>
      </c>
      <c r="L37" s="4" t="str">
        <f t="shared" si="1"/>
        <v>Normal</v>
      </c>
    </row>
    <row r="38" spans="1:12" ht="18" customHeight="1" x14ac:dyDescent="0.3">
      <c r="A38" s="1">
        <v>23034</v>
      </c>
      <c r="B38" s="1" t="str">
        <f>VLOOKUP( WeatherData[[#This Row],[Station Number]], 'Station Numbers'!A:B,2,FALSE)</f>
        <v xml:space="preserve">Adelaide Airport </v>
      </c>
      <c r="C38" s="1">
        <v>2020</v>
      </c>
      <c r="D38" s="1">
        <v>2</v>
      </c>
      <c r="E38" s="1">
        <v>6</v>
      </c>
      <c r="F38" s="2">
        <f>DATE(WeatherData[[#This Row],[Year]],WeatherData[[#This Row],[Month]],WeatherData[[#This Row],[Day]])</f>
        <v>43867</v>
      </c>
      <c r="G38" s="2" t="str">
        <f>TEXT(WeatherData[[#This Row],[Date]], "mmmm")</f>
        <v>February</v>
      </c>
      <c r="H38" s="16">
        <v>0</v>
      </c>
      <c r="I38" s="16">
        <v>31.9</v>
      </c>
      <c r="J38" s="16">
        <v>14.5</v>
      </c>
      <c r="K38" s="6">
        <f t="shared" si="0"/>
        <v>17.399999999999999</v>
      </c>
      <c r="L38" s="4" t="str">
        <f t="shared" si="1"/>
        <v>Normal</v>
      </c>
    </row>
    <row r="39" spans="1:12" ht="18" customHeight="1" x14ac:dyDescent="0.3">
      <c r="A39" s="1">
        <v>23034</v>
      </c>
      <c r="B39" s="1" t="str">
        <f>VLOOKUP( WeatherData[[#This Row],[Station Number]], 'Station Numbers'!A:B,2,FALSE)</f>
        <v xml:space="preserve">Adelaide Airport </v>
      </c>
      <c r="C39" s="1">
        <v>2020</v>
      </c>
      <c r="D39" s="1">
        <v>2</v>
      </c>
      <c r="E39" s="1">
        <v>7</v>
      </c>
      <c r="F39" s="2">
        <f>DATE(WeatherData[[#This Row],[Year]],WeatherData[[#This Row],[Month]],WeatherData[[#This Row],[Day]])</f>
        <v>43868</v>
      </c>
      <c r="G39" s="2" t="str">
        <f>TEXT(WeatherData[[#This Row],[Date]], "mmmm")</f>
        <v>February</v>
      </c>
      <c r="H39" s="16">
        <v>0</v>
      </c>
      <c r="I39" s="16">
        <v>29.1</v>
      </c>
      <c r="J39" s="16">
        <v>19.100000000000001</v>
      </c>
      <c r="K39" s="6">
        <f t="shared" si="0"/>
        <v>10</v>
      </c>
      <c r="L39" s="4" t="str">
        <f t="shared" si="1"/>
        <v>Normal</v>
      </c>
    </row>
    <row r="40" spans="1:12" ht="18" customHeight="1" x14ac:dyDescent="0.3">
      <c r="A40" s="1">
        <v>23034</v>
      </c>
      <c r="B40" s="1" t="str">
        <f>VLOOKUP( WeatherData[[#This Row],[Station Number]], 'Station Numbers'!A:B,2,FALSE)</f>
        <v xml:space="preserve">Adelaide Airport </v>
      </c>
      <c r="C40" s="1">
        <v>2020</v>
      </c>
      <c r="D40" s="1">
        <v>2</v>
      </c>
      <c r="E40" s="1">
        <v>8</v>
      </c>
      <c r="F40" s="2">
        <f>DATE(WeatherData[[#This Row],[Year]],WeatherData[[#This Row],[Month]],WeatherData[[#This Row],[Day]])</f>
        <v>43869</v>
      </c>
      <c r="G40" s="2" t="str">
        <f>TEXT(WeatherData[[#This Row],[Date]], "mmmm")</f>
        <v>February</v>
      </c>
      <c r="H40" s="16">
        <v>0.2</v>
      </c>
      <c r="I40" s="16">
        <v>33</v>
      </c>
      <c r="J40" s="16">
        <v>21.5</v>
      </c>
      <c r="K40" s="6">
        <f t="shared" si="0"/>
        <v>11.5</v>
      </c>
      <c r="L40" s="4" t="str">
        <f t="shared" si="1"/>
        <v>Normal</v>
      </c>
    </row>
    <row r="41" spans="1:12" ht="18" customHeight="1" x14ac:dyDescent="0.3">
      <c r="A41" s="1">
        <v>23034</v>
      </c>
      <c r="B41" s="1" t="str">
        <f>VLOOKUP( WeatherData[[#This Row],[Station Number]], 'Station Numbers'!A:B,2,FALSE)</f>
        <v xml:space="preserve">Adelaide Airport </v>
      </c>
      <c r="C41" s="1">
        <v>2020</v>
      </c>
      <c r="D41" s="1">
        <v>2</v>
      </c>
      <c r="E41" s="1">
        <v>9</v>
      </c>
      <c r="F41" s="2">
        <f>DATE(WeatherData[[#This Row],[Year]],WeatherData[[#This Row],[Month]],WeatherData[[#This Row],[Day]])</f>
        <v>43870</v>
      </c>
      <c r="G41" s="2" t="str">
        <f>TEXT(WeatherData[[#This Row],[Date]], "mmmm")</f>
        <v>February</v>
      </c>
      <c r="H41" s="16">
        <v>0</v>
      </c>
      <c r="I41" s="16">
        <v>31.9</v>
      </c>
      <c r="J41" s="16">
        <v>22.3</v>
      </c>
      <c r="K41" s="6">
        <f t="shared" si="0"/>
        <v>9.5999999999999979</v>
      </c>
      <c r="L41" s="4" t="str">
        <f t="shared" si="1"/>
        <v>Normal</v>
      </c>
    </row>
    <row r="42" spans="1:12" ht="18" customHeight="1" x14ac:dyDescent="0.3">
      <c r="A42" s="1">
        <v>23034</v>
      </c>
      <c r="B42" s="1" t="str">
        <f>VLOOKUP( WeatherData[[#This Row],[Station Number]], 'Station Numbers'!A:B,2,FALSE)</f>
        <v xml:space="preserve">Adelaide Airport </v>
      </c>
      <c r="C42" s="1">
        <v>2020</v>
      </c>
      <c r="D42" s="1">
        <v>2</v>
      </c>
      <c r="E42" s="1">
        <v>10</v>
      </c>
      <c r="F42" s="2">
        <f>DATE(WeatherData[[#This Row],[Year]],WeatherData[[#This Row],[Month]],WeatherData[[#This Row],[Day]])</f>
        <v>43871</v>
      </c>
      <c r="G42" s="2" t="str">
        <f>TEXT(WeatherData[[#This Row],[Date]], "mmmm")</f>
        <v>February</v>
      </c>
      <c r="H42" s="16">
        <v>0</v>
      </c>
      <c r="I42" s="16">
        <v>27.7</v>
      </c>
      <c r="J42" s="16">
        <v>19.5</v>
      </c>
      <c r="K42" s="6">
        <f t="shared" si="0"/>
        <v>8.1999999999999993</v>
      </c>
      <c r="L42" s="4" t="str">
        <f t="shared" si="1"/>
        <v>Normal</v>
      </c>
    </row>
    <row r="43" spans="1:12" ht="18" customHeight="1" x14ac:dyDescent="0.3">
      <c r="A43" s="1">
        <v>23034</v>
      </c>
      <c r="B43" s="1" t="str">
        <f>VLOOKUP( WeatherData[[#This Row],[Station Number]], 'Station Numbers'!A:B,2,FALSE)</f>
        <v xml:space="preserve">Adelaide Airport </v>
      </c>
      <c r="C43" s="1">
        <v>2020</v>
      </c>
      <c r="D43" s="1">
        <v>2</v>
      </c>
      <c r="E43" s="1">
        <v>11</v>
      </c>
      <c r="F43" s="2">
        <f>DATE(WeatherData[[#This Row],[Year]],WeatherData[[#This Row],[Month]],WeatherData[[#This Row],[Day]])</f>
        <v>43872</v>
      </c>
      <c r="G43" s="2" t="str">
        <f>TEXT(WeatherData[[#This Row],[Date]], "mmmm")</f>
        <v>February</v>
      </c>
      <c r="H43" s="16">
        <v>0</v>
      </c>
      <c r="I43" s="16">
        <v>24.8</v>
      </c>
      <c r="J43" s="16">
        <v>18.3</v>
      </c>
      <c r="K43" s="6">
        <f t="shared" si="0"/>
        <v>6.5</v>
      </c>
      <c r="L43" s="4" t="str">
        <f t="shared" si="1"/>
        <v>Normal</v>
      </c>
    </row>
    <row r="44" spans="1:12" ht="18" customHeight="1" x14ac:dyDescent="0.3">
      <c r="A44" s="1">
        <v>23034</v>
      </c>
      <c r="B44" s="1" t="str">
        <f>VLOOKUP( WeatherData[[#This Row],[Station Number]], 'Station Numbers'!A:B,2,FALSE)</f>
        <v xml:space="preserve">Adelaide Airport </v>
      </c>
      <c r="C44" s="1">
        <v>2020</v>
      </c>
      <c r="D44" s="1">
        <v>2</v>
      </c>
      <c r="E44" s="1">
        <v>12</v>
      </c>
      <c r="F44" s="2">
        <f>DATE(WeatherData[[#This Row],[Year]],WeatherData[[#This Row],[Month]],WeatherData[[#This Row],[Day]])</f>
        <v>43873</v>
      </c>
      <c r="G44" s="2" t="str">
        <f>TEXT(WeatherData[[#This Row],[Date]], "mmmm")</f>
        <v>February</v>
      </c>
      <c r="H44" s="16">
        <v>0</v>
      </c>
      <c r="I44" s="16">
        <v>25.9</v>
      </c>
      <c r="J44" s="16">
        <v>18</v>
      </c>
      <c r="K44" s="6">
        <f t="shared" si="0"/>
        <v>7.8999999999999986</v>
      </c>
      <c r="L44" s="4" t="str">
        <f t="shared" si="1"/>
        <v>Normal</v>
      </c>
    </row>
    <row r="45" spans="1:12" ht="18" customHeight="1" x14ac:dyDescent="0.3">
      <c r="A45" s="1">
        <v>23034</v>
      </c>
      <c r="B45" s="1" t="str">
        <f>VLOOKUP( WeatherData[[#This Row],[Station Number]], 'Station Numbers'!A:B,2,FALSE)</f>
        <v xml:space="preserve">Adelaide Airport </v>
      </c>
      <c r="C45" s="1">
        <v>2020</v>
      </c>
      <c r="D45" s="1">
        <v>2</v>
      </c>
      <c r="E45" s="1">
        <v>13</v>
      </c>
      <c r="F45" s="2">
        <f>DATE(WeatherData[[#This Row],[Year]],WeatherData[[#This Row],[Month]],WeatherData[[#This Row],[Day]])</f>
        <v>43874</v>
      </c>
      <c r="G45" s="2" t="str">
        <f>TEXT(WeatherData[[#This Row],[Date]], "mmmm")</f>
        <v>February</v>
      </c>
      <c r="H45" s="16">
        <v>0</v>
      </c>
      <c r="I45" s="16">
        <v>25.9</v>
      </c>
      <c r="J45" s="16">
        <v>17.3</v>
      </c>
      <c r="K45" s="6">
        <f t="shared" si="0"/>
        <v>8.5999999999999979</v>
      </c>
      <c r="L45" s="4" t="str">
        <f t="shared" si="1"/>
        <v>Normal</v>
      </c>
    </row>
    <row r="46" spans="1:12" ht="18" customHeight="1" x14ac:dyDescent="0.3">
      <c r="A46" s="1">
        <v>23034</v>
      </c>
      <c r="B46" s="1" t="str">
        <f>VLOOKUP( WeatherData[[#This Row],[Station Number]], 'Station Numbers'!A:B,2,FALSE)</f>
        <v xml:space="preserve">Adelaide Airport </v>
      </c>
      <c r="C46" s="1">
        <v>2020</v>
      </c>
      <c r="D46" s="1">
        <v>2</v>
      </c>
      <c r="E46" s="1">
        <v>14</v>
      </c>
      <c r="F46" s="2">
        <f>DATE(WeatherData[[#This Row],[Year]],WeatherData[[#This Row],[Month]],WeatherData[[#This Row],[Day]])</f>
        <v>43875</v>
      </c>
      <c r="G46" s="2" t="str">
        <f>TEXT(WeatherData[[#This Row],[Date]], "mmmm")</f>
        <v>February</v>
      </c>
      <c r="H46" s="16">
        <v>0</v>
      </c>
      <c r="I46" s="16">
        <v>23.3</v>
      </c>
      <c r="J46" s="16">
        <v>19.3</v>
      </c>
      <c r="K46" s="6">
        <f t="shared" si="0"/>
        <v>4</v>
      </c>
      <c r="L46" s="4" t="str">
        <f t="shared" si="1"/>
        <v>Normal</v>
      </c>
    </row>
    <row r="47" spans="1:12" ht="18" customHeight="1" x14ac:dyDescent="0.3">
      <c r="A47" s="1">
        <v>23034</v>
      </c>
      <c r="B47" s="1" t="str">
        <f>VLOOKUP( WeatherData[[#This Row],[Station Number]], 'Station Numbers'!A:B,2,FALSE)</f>
        <v xml:space="preserve">Adelaide Airport </v>
      </c>
      <c r="C47" s="1">
        <v>2020</v>
      </c>
      <c r="D47" s="1">
        <v>2</v>
      </c>
      <c r="E47" s="1">
        <v>15</v>
      </c>
      <c r="F47" s="2">
        <f>DATE(WeatherData[[#This Row],[Year]],WeatherData[[#This Row],[Month]],WeatherData[[#This Row],[Day]])</f>
        <v>43876</v>
      </c>
      <c r="G47" s="2" t="str">
        <f>TEXT(WeatherData[[#This Row],[Date]], "mmmm")</f>
        <v>February</v>
      </c>
      <c r="H47" s="16">
        <v>0</v>
      </c>
      <c r="I47" s="16">
        <v>23.8</v>
      </c>
      <c r="J47" s="16">
        <v>17.3</v>
      </c>
      <c r="K47" s="6">
        <f t="shared" si="0"/>
        <v>6.5</v>
      </c>
      <c r="L47" s="4" t="str">
        <f t="shared" si="1"/>
        <v>Normal</v>
      </c>
    </row>
    <row r="48" spans="1:12" ht="18" customHeight="1" x14ac:dyDescent="0.3">
      <c r="A48" s="1">
        <v>23034</v>
      </c>
      <c r="B48" s="1" t="str">
        <f>VLOOKUP( WeatherData[[#This Row],[Station Number]], 'Station Numbers'!A:B,2,FALSE)</f>
        <v xml:space="preserve">Adelaide Airport </v>
      </c>
      <c r="C48" s="1">
        <v>2020</v>
      </c>
      <c r="D48" s="1">
        <v>2</v>
      </c>
      <c r="E48" s="1">
        <v>16</v>
      </c>
      <c r="F48" s="2">
        <f>DATE(WeatherData[[#This Row],[Year]],WeatherData[[#This Row],[Month]],WeatherData[[#This Row],[Day]])</f>
        <v>43877</v>
      </c>
      <c r="G48" s="2" t="str">
        <f>TEXT(WeatherData[[#This Row],[Date]], "mmmm")</f>
        <v>February</v>
      </c>
      <c r="H48" s="16">
        <v>0</v>
      </c>
      <c r="I48" s="16">
        <v>24.5</v>
      </c>
      <c r="J48" s="16">
        <v>13.6</v>
      </c>
      <c r="K48" s="6">
        <f t="shared" si="0"/>
        <v>10.9</v>
      </c>
      <c r="L48" s="4" t="str">
        <f t="shared" si="1"/>
        <v>Normal</v>
      </c>
    </row>
    <row r="49" spans="1:12" ht="18" customHeight="1" x14ac:dyDescent="0.3">
      <c r="A49" s="1">
        <v>23034</v>
      </c>
      <c r="B49" s="1" t="str">
        <f>VLOOKUP( WeatherData[[#This Row],[Station Number]], 'Station Numbers'!A:B,2,FALSE)</f>
        <v xml:space="preserve">Adelaide Airport </v>
      </c>
      <c r="C49" s="1">
        <v>2020</v>
      </c>
      <c r="D49" s="1">
        <v>2</v>
      </c>
      <c r="E49" s="1">
        <v>17</v>
      </c>
      <c r="F49" s="2">
        <f>DATE(WeatherData[[#This Row],[Year]],WeatherData[[#This Row],[Month]],WeatherData[[#This Row],[Day]])</f>
        <v>43878</v>
      </c>
      <c r="G49" s="2" t="str">
        <f>TEXT(WeatherData[[#This Row],[Date]], "mmmm")</f>
        <v>February</v>
      </c>
      <c r="H49" s="16">
        <v>0</v>
      </c>
      <c r="I49" s="16">
        <v>25.6</v>
      </c>
      <c r="J49" s="16">
        <v>13.1</v>
      </c>
      <c r="K49" s="6">
        <f t="shared" si="0"/>
        <v>12.500000000000002</v>
      </c>
      <c r="L49" s="4" t="str">
        <f t="shared" si="1"/>
        <v>Normal</v>
      </c>
    </row>
    <row r="50" spans="1:12" ht="18" customHeight="1" x14ac:dyDescent="0.3">
      <c r="A50" s="1">
        <v>23034</v>
      </c>
      <c r="B50" s="1" t="str">
        <f>VLOOKUP( WeatherData[[#This Row],[Station Number]], 'Station Numbers'!A:B,2,FALSE)</f>
        <v xml:space="preserve">Adelaide Airport </v>
      </c>
      <c r="C50" s="1">
        <v>2020</v>
      </c>
      <c r="D50" s="1">
        <v>2</v>
      </c>
      <c r="E50" s="1">
        <v>18</v>
      </c>
      <c r="F50" s="2">
        <f>DATE(WeatherData[[#This Row],[Year]],WeatherData[[#This Row],[Month]],WeatherData[[#This Row],[Day]])</f>
        <v>43879</v>
      </c>
      <c r="G50" s="2" t="str">
        <f>TEXT(WeatherData[[#This Row],[Date]], "mmmm")</f>
        <v>February</v>
      </c>
      <c r="H50" s="16">
        <v>0</v>
      </c>
      <c r="I50" s="16">
        <v>23</v>
      </c>
      <c r="J50" s="16">
        <v>18.3</v>
      </c>
      <c r="K50" s="6">
        <f t="shared" si="0"/>
        <v>4.6999999999999993</v>
      </c>
      <c r="L50" s="4" t="str">
        <f t="shared" si="1"/>
        <v>Normal</v>
      </c>
    </row>
    <row r="51" spans="1:12" ht="18" customHeight="1" x14ac:dyDescent="0.3">
      <c r="A51" s="1">
        <v>23034</v>
      </c>
      <c r="B51" s="1" t="str">
        <f>VLOOKUP( WeatherData[[#This Row],[Station Number]], 'Station Numbers'!A:B,2,FALSE)</f>
        <v xml:space="preserve">Adelaide Airport </v>
      </c>
      <c r="C51" s="1">
        <v>2020</v>
      </c>
      <c r="D51" s="1">
        <v>2</v>
      </c>
      <c r="E51" s="1">
        <v>19</v>
      </c>
      <c r="F51" s="2">
        <f>DATE(WeatherData[[#This Row],[Year]],WeatherData[[#This Row],[Month]],WeatherData[[#This Row],[Day]])</f>
        <v>43880</v>
      </c>
      <c r="G51" s="2" t="str">
        <f>TEXT(WeatherData[[#This Row],[Date]], "mmmm")</f>
        <v>February</v>
      </c>
      <c r="H51" s="16">
        <v>0.6</v>
      </c>
      <c r="I51" s="16">
        <v>22.6</v>
      </c>
      <c r="J51" s="16">
        <v>15.7</v>
      </c>
      <c r="K51" s="6">
        <f t="shared" si="0"/>
        <v>6.9000000000000021</v>
      </c>
      <c r="L51" s="4" t="str">
        <f t="shared" si="1"/>
        <v>Normal</v>
      </c>
    </row>
    <row r="52" spans="1:12" ht="18" customHeight="1" x14ac:dyDescent="0.3">
      <c r="A52" s="1">
        <v>23034</v>
      </c>
      <c r="B52" s="1" t="str">
        <f>VLOOKUP( WeatherData[[#This Row],[Station Number]], 'Station Numbers'!A:B,2,FALSE)</f>
        <v xml:space="preserve">Adelaide Airport </v>
      </c>
      <c r="C52" s="1">
        <v>2020</v>
      </c>
      <c r="D52" s="1">
        <v>2</v>
      </c>
      <c r="E52" s="1">
        <v>20</v>
      </c>
      <c r="F52" s="2">
        <f>DATE(WeatherData[[#This Row],[Year]],WeatherData[[#This Row],[Month]],WeatherData[[#This Row],[Day]])</f>
        <v>43881</v>
      </c>
      <c r="G52" s="2" t="str">
        <f>TEXT(WeatherData[[#This Row],[Date]], "mmmm")</f>
        <v>February</v>
      </c>
      <c r="H52" s="16">
        <v>0</v>
      </c>
      <c r="I52" s="16">
        <v>23.1</v>
      </c>
      <c r="J52" s="16">
        <v>12.3</v>
      </c>
      <c r="K52" s="6">
        <f t="shared" si="0"/>
        <v>10.8</v>
      </c>
      <c r="L52" s="4" t="str">
        <f t="shared" si="1"/>
        <v>Normal</v>
      </c>
    </row>
    <row r="53" spans="1:12" ht="18" customHeight="1" x14ac:dyDescent="0.3">
      <c r="A53" s="1">
        <v>23034</v>
      </c>
      <c r="B53" s="1" t="str">
        <f>VLOOKUP( WeatherData[[#This Row],[Station Number]], 'Station Numbers'!A:B,2,FALSE)</f>
        <v xml:space="preserve">Adelaide Airport </v>
      </c>
      <c r="C53" s="1">
        <v>2020</v>
      </c>
      <c r="D53" s="1">
        <v>2</v>
      </c>
      <c r="E53" s="1">
        <v>21</v>
      </c>
      <c r="F53" s="2">
        <f>DATE(WeatherData[[#This Row],[Year]],WeatherData[[#This Row],[Month]],WeatherData[[#This Row],[Day]])</f>
        <v>43882</v>
      </c>
      <c r="G53" s="2" t="str">
        <f>TEXT(WeatherData[[#This Row],[Date]], "mmmm")</f>
        <v>February</v>
      </c>
      <c r="H53" s="16">
        <v>0</v>
      </c>
      <c r="I53" s="16">
        <v>24.6</v>
      </c>
      <c r="J53" s="16">
        <v>13.1</v>
      </c>
      <c r="K53" s="6">
        <f t="shared" si="0"/>
        <v>11.500000000000002</v>
      </c>
      <c r="L53" s="4" t="str">
        <f t="shared" si="1"/>
        <v>Normal</v>
      </c>
    </row>
    <row r="54" spans="1:12" ht="18" customHeight="1" x14ac:dyDescent="0.3">
      <c r="A54" s="1">
        <v>23034</v>
      </c>
      <c r="B54" s="1" t="str">
        <f>VLOOKUP( WeatherData[[#This Row],[Station Number]], 'Station Numbers'!A:B,2,FALSE)</f>
        <v xml:space="preserve">Adelaide Airport </v>
      </c>
      <c r="C54" s="1">
        <v>2020</v>
      </c>
      <c r="D54" s="1">
        <v>2</v>
      </c>
      <c r="E54" s="1">
        <v>22</v>
      </c>
      <c r="F54" s="2">
        <f>DATE(WeatherData[[#This Row],[Year]],WeatherData[[#This Row],[Month]],WeatherData[[#This Row],[Day]])</f>
        <v>43883</v>
      </c>
      <c r="G54" s="2" t="str">
        <f>TEXT(WeatherData[[#This Row],[Date]], "mmmm")</f>
        <v>February</v>
      </c>
      <c r="H54" s="16">
        <v>0</v>
      </c>
      <c r="I54" s="16">
        <v>26.9</v>
      </c>
      <c r="J54" s="16">
        <v>13</v>
      </c>
      <c r="K54" s="6">
        <f t="shared" si="0"/>
        <v>13.899999999999999</v>
      </c>
      <c r="L54" s="4" t="str">
        <f t="shared" si="1"/>
        <v>Normal</v>
      </c>
    </row>
    <row r="55" spans="1:12" ht="18" customHeight="1" x14ac:dyDescent="0.3">
      <c r="A55" s="1">
        <v>23034</v>
      </c>
      <c r="B55" s="1" t="str">
        <f>VLOOKUP( WeatherData[[#This Row],[Station Number]], 'Station Numbers'!A:B,2,FALSE)</f>
        <v xml:space="preserve">Adelaide Airport </v>
      </c>
      <c r="C55" s="1">
        <v>2020</v>
      </c>
      <c r="D55" s="1">
        <v>2</v>
      </c>
      <c r="E55" s="1">
        <v>23</v>
      </c>
      <c r="F55" s="2">
        <f>DATE(WeatherData[[#This Row],[Year]],WeatherData[[#This Row],[Month]],WeatherData[[#This Row],[Day]])</f>
        <v>43884</v>
      </c>
      <c r="G55" s="2" t="str">
        <f>TEXT(WeatherData[[#This Row],[Date]], "mmmm")</f>
        <v>February</v>
      </c>
      <c r="H55" s="16">
        <v>0</v>
      </c>
      <c r="I55" s="16">
        <v>30.6</v>
      </c>
      <c r="J55" s="16">
        <v>12.6</v>
      </c>
      <c r="K55" s="6">
        <f t="shared" si="0"/>
        <v>18</v>
      </c>
      <c r="L55" s="4" t="str">
        <f t="shared" si="1"/>
        <v>Normal</v>
      </c>
    </row>
    <row r="56" spans="1:12" ht="18" customHeight="1" x14ac:dyDescent="0.3">
      <c r="A56" s="1">
        <v>23034</v>
      </c>
      <c r="B56" s="1" t="str">
        <f>VLOOKUP( WeatherData[[#This Row],[Station Number]], 'Station Numbers'!A:B,2,FALSE)</f>
        <v xml:space="preserve">Adelaide Airport </v>
      </c>
      <c r="C56" s="1">
        <v>2020</v>
      </c>
      <c r="D56" s="1">
        <v>2</v>
      </c>
      <c r="E56" s="1">
        <v>24</v>
      </c>
      <c r="F56" s="2">
        <f>DATE(WeatherData[[#This Row],[Year]],WeatherData[[#This Row],[Month]],WeatherData[[#This Row],[Day]])</f>
        <v>43885</v>
      </c>
      <c r="G56" s="2" t="str">
        <f>TEXT(WeatherData[[#This Row],[Date]], "mmmm")</f>
        <v>February</v>
      </c>
      <c r="H56" s="16">
        <v>0</v>
      </c>
      <c r="I56" s="16">
        <v>28.9</v>
      </c>
      <c r="J56" s="16">
        <v>19.7</v>
      </c>
      <c r="K56" s="6">
        <f t="shared" si="0"/>
        <v>9.1999999999999993</v>
      </c>
      <c r="L56" s="4" t="str">
        <f t="shared" si="1"/>
        <v>Normal</v>
      </c>
    </row>
    <row r="57" spans="1:12" ht="18" customHeight="1" x14ac:dyDescent="0.3">
      <c r="A57" s="1">
        <v>23034</v>
      </c>
      <c r="B57" s="1" t="str">
        <f>VLOOKUP( WeatherData[[#This Row],[Station Number]], 'Station Numbers'!A:B,2,FALSE)</f>
        <v xml:space="preserve">Adelaide Airport </v>
      </c>
      <c r="C57" s="1">
        <v>2020</v>
      </c>
      <c r="D57" s="1">
        <v>2</v>
      </c>
      <c r="E57" s="1">
        <v>25</v>
      </c>
      <c r="F57" s="2">
        <f>DATE(WeatherData[[#This Row],[Year]],WeatherData[[#This Row],[Month]],WeatherData[[#This Row],[Day]])</f>
        <v>43886</v>
      </c>
      <c r="G57" s="2" t="str">
        <f>TEXT(WeatherData[[#This Row],[Date]], "mmmm")</f>
        <v>February</v>
      </c>
      <c r="H57" s="16">
        <v>0</v>
      </c>
      <c r="I57" s="16">
        <v>25.3</v>
      </c>
      <c r="J57" s="16">
        <v>18.2</v>
      </c>
      <c r="K57" s="6">
        <f t="shared" si="0"/>
        <v>7.1000000000000014</v>
      </c>
      <c r="L57" s="4" t="str">
        <f t="shared" si="1"/>
        <v>Normal</v>
      </c>
    </row>
    <row r="58" spans="1:12" ht="18" customHeight="1" x14ac:dyDescent="0.3">
      <c r="A58" s="1">
        <v>23034</v>
      </c>
      <c r="B58" s="1" t="str">
        <f>VLOOKUP( WeatherData[[#This Row],[Station Number]], 'Station Numbers'!A:B,2,FALSE)</f>
        <v xml:space="preserve">Adelaide Airport </v>
      </c>
      <c r="C58" s="1">
        <v>2020</v>
      </c>
      <c r="D58" s="1">
        <v>2</v>
      </c>
      <c r="E58" s="1">
        <v>26</v>
      </c>
      <c r="F58" s="2">
        <f>DATE(WeatherData[[#This Row],[Year]],WeatherData[[#This Row],[Month]],WeatherData[[#This Row],[Day]])</f>
        <v>43887</v>
      </c>
      <c r="G58" s="2" t="str">
        <f>TEXT(WeatherData[[#This Row],[Date]], "mmmm")</f>
        <v>February</v>
      </c>
      <c r="H58" s="16">
        <v>0</v>
      </c>
      <c r="I58" s="16">
        <v>23.1</v>
      </c>
      <c r="J58" s="16">
        <v>16.7</v>
      </c>
      <c r="K58" s="6">
        <f t="shared" si="0"/>
        <v>6.4000000000000021</v>
      </c>
      <c r="L58" s="4" t="str">
        <f t="shared" si="1"/>
        <v>Normal</v>
      </c>
    </row>
    <row r="59" spans="1:12" ht="18" customHeight="1" x14ac:dyDescent="0.3">
      <c r="A59" s="1">
        <v>23034</v>
      </c>
      <c r="B59" s="1" t="str">
        <f>VLOOKUP( WeatherData[[#This Row],[Station Number]], 'Station Numbers'!A:B,2,FALSE)</f>
        <v xml:space="preserve">Adelaide Airport </v>
      </c>
      <c r="C59" s="1">
        <v>2020</v>
      </c>
      <c r="D59" s="1">
        <v>2</v>
      </c>
      <c r="E59" s="1">
        <v>27</v>
      </c>
      <c r="F59" s="2">
        <f>DATE(WeatherData[[#This Row],[Year]],WeatherData[[#This Row],[Month]],WeatherData[[#This Row],[Day]])</f>
        <v>43888</v>
      </c>
      <c r="G59" s="2" t="str">
        <f>TEXT(WeatherData[[#This Row],[Date]], "mmmm")</f>
        <v>February</v>
      </c>
      <c r="H59" s="16">
        <v>0.4</v>
      </c>
      <c r="I59" s="16">
        <v>20.9</v>
      </c>
      <c r="J59" s="16">
        <v>12.2</v>
      </c>
      <c r="K59" s="6">
        <f t="shared" si="0"/>
        <v>8.6999999999999993</v>
      </c>
      <c r="L59" s="4" t="str">
        <f t="shared" si="1"/>
        <v>Normal</v>
      </c>
    </row>
    <row r="60" spans="1:12" ht="18" customHeight="1" x14ac:dyDescent="0.3">
      <c r="A60" s="1">
        <v>23034</v>
      </c>
      <c r="B60" s="1" t="str">
        <f>VLOOKUP( WeatherData[[#This Row],[Station Number]], 'Station Numbers'!A:B,2,FALSE)</f>
        <v xml:space="preserve">Adelaide Airport </v>
      </c>
      <c r="C60" s="1">
        <v>2020</v>
      </c>
      <c r="D60" s="1">
        <v>2</v>
      </c>
      <c r="E60" s="1">
        <v>28</v>
      </c>
      <c r="F60" s="2">
        <f>DATE(WeatherData[[#This Row],[Year]],WeatherData[[#This Row],[Month]],WeatherData[[#This Row],[Day]])</f>
        <v>43889</v>
      </c>
      <c r="G60" s="2" t="str">
        <f>TEXT(WeatherData[[#This Row],[Date]], "mmmm")</f>
        <v>February</v>
      </c>
      <c r="H60" s="16">
        <v>0.4</v>
      </c>
      <c r="I60" s="16">
        <v>22.3</v>
      </c>
      <c r="J60" s="16">
        <v>15.6</v>
      </c>
      <c r="K60" s="6">
        <f t="shared" si="0"/>
        <v>6.7000000000000011</v>
      </c>
      <c r="L60" s="4" t="str">
        <f t="shared" si="1"/>
        <v>Normal</v>
      </c>
    </row>
    <row r="61" spans="1:12" ht="18" customHeight="1" x14ac:dyDescent="0.3">
      <c r="A61" s="1">
        <v>23034</v>
      </c>
      <c r="B61" s="1" t="str">
        <f>VLOOKUP( WeatherData[[#This Row],[Station Number]], 'Station Numbers'!A:B,2,FALSE)</f>
        <v xml:space="preserve">Adelaide Airport </v>
      </c>
      <c r="C61" s="1">
        <v>2020</v>
      </c>
      <c r="D61" s="1">
        <v>2</v>
      </c>
      <c r="E61" s="1">
        <v>29</v>
      </c>
      <c r="F61" s="2">
        <f>DATE(WeatherData[[#This Row],[Year]],WeatherData[[#This Row],[Month]],WeatherData[[#This Row],[Day]])</f>
        <v>43890</v>
      </c>
      <c r="G61" s="2" t="str">
        <f>TEXT(WeatherData[[#This Row],[Date]], "mmmm")</f>
        <v>February</v>
      </c>
      <c r="H61" s="16">
        <v>0</v>
      </c>
      <c r="I61" s="16">
        <v>23.3</v>
      </c>
      <c r="J61" s="16">
        <v>12.7</v>
      </c>
      <c r="K61" s="6">
        <f t="shared" si="0"/>
        <v>10.600000000000001</v>
      </c>
      <c r="L61" s="4" t="str">
        <f t="shared" si="1"/>
        <v>Normal</v>
      </c>
    </row>
    <row r="62" spans="1:12" ht="18" customHeight="1" x14ac:dyDescent="0.3">
      <c r="A62" s="1">
        <v>23034</v>
      </c>
      <c r="B62" s="1" t="str">
        <f>VLOOKUP( WeatherData[[#This Row],[Station Number]], 'Station Numbers'!A:B,2,FALSE)</f>
        <v xml:space="preserve">Adelaide Airport </v>
      </c>
      <c r="C62" s="1">
        <v>2020</v>
      </c>
      <c r="D62" s="1">
        <v>3</v>
      </c>
      <c r="E62" s="1">
        <v>1</v>
      </c>
      <c r="F62" s="2">
        <f>DATE(WeatherData[[#This Row],[Year]],WeatherData[[#This Row],[Month]],WeatherData[[#This Row],[Day]])</f>
        <v>43891</v>
      </c>
      <c r="G62" s="2" t="str">
        <f>TEXT(WeatherData[[#This Row],[Date]], "mmmm")</f>
        <v>March</v>
      </c>
      <c r="H62" s="16">
        <v>0</v>
      </c>
      <c r="I62" s="16">
        <v>27.2</v>
      </c>
      <c r="J62" s="16">
        <v>15</v>
      </c>
      <c r="K62" s="6">
        <f t="shared" si="0"/>
        <v>12.2</v>
      </c>
      <c r="L62" s="4" t="str">
        <f t="shared" si="1"/>
        <v>Normal</v>
      </c>
    </row>
    <row r="63" spans="1:12" ht="18" customHeight="1" x14ac:dyDescent="0.3">
      <c r="A63" s="1">
        <v>23034</v>
      </c>
      <c r="B63" s="1" t="str">
        <f>VLOOKUP( WeatherData[[#This Row],[Station Number]], 'Station Numbers'!A:B,2,FALSE)</f>
        <v xml:space="preserve">Adelaide Airport </v>
      </c>
      <c r="C63" s="1">
        <v>2020</v>
      </c>
      <c r="D63" s="1">
        <v>3</v>
      </c>
      <c r="E63" s="1">
        <v>2</v>
      </c>
      <c r="F63" s="2">
        <f>DATE(WeatherData[[#This Row],[Year]],WeatherData[[#This Row],[Month]],WeatherData[[#This Row],[Day]])</f>
        <v>43892</v>
      </c>
      <c r="G63" s="2" t="str">
        <f>TEXT(WeatherData[[#This Row],[Date]], "mmmm")</f>
        <v>March</v>
      </c>
      <c r="H63" s="16">
        <v>1.6</v>
      </c>
      <c r="I63" s="16">
        <v>22.4</v>
      </c>
      <c r="J63" s="16">
        <v>14.3</v>
      </c>
      <c r="K63" s="6">
        <f t="shared" si="0"/>
        <v>8.0999999999999979</v>
      </c>
      <c r="L63" s="4" t="str">
        <f t="shared" si="1"/>
        <v>Normal</v>
      </c>
    </row>
    <row r="64" spans="1:12" ht="18" customHeight="1" x14ac:dyDescent="0.3">
      <c r="A64" s="1">
        <v>23034</v>
      </c>
      <c r="B64" s="1" t="str">
        <f>VLOOKUP( WeatherData[[#This Row],[Station Number]], 'Station Numbers'!A:B,2,FALSE)</f>
        <v xml:space="preserve">Adelaide Airport </v>
      </c>
      <c r="C64" s="1">
        <v>2020</v>
      </c>
      <c r="D64" s="1">
        <v>3</v>
      </c>
      <c r="E64" s="1">
        <v>3</v>
      </c>
      <c r="F64" s="2">
        <f>DATE(WeatherData[[#This Row],[Year]],WeatherData[[#This Row],[Month]],WeatherData[[#This Row],[Day]])</f>
        <v>43893</v>
      </c>
      <c r="G64" s="2" t="str">
        <f>TEXT(WeatherData[[#This Row],[Date]], "mmmm")</f>
        <v>March</v>
      </c>
      <c r="H64" s="16">
        <v>0</v>
      </c>
      <c r="I64" s="16">
        <v>20.100000000000001</v>
      </c>
      <c r="J64" s="16">
        <v>13</v>
      </c>
      <c r="K64" s="6">
        <f t="shared" si="0"/>
        <v>7.1000000000000014</v>
      </c>
      <c r="L64" s="4" t="str">
        <f t="shared" si="1"/>
        <v>Normal</v>
      </c>
    </row>
    <row r="65" spans="1:12" ht="18" customHeight="1" x14ac:dyDescent="0.3">
      <c r="A65" s="1">
        <v>23034</v>
      </c>
      <c r="B65" s="1" t="str">
        <f>VLOOKUP( WeatherData[[#This Row],[Station Number]], 'Station Numbers'!A:B,2,FALSE)</f>
        <v xml:space="preserve">Adelaide Airport </v>
      </c>
      <c r="C65" s="1">
        <v>2020</v>
      </c>
      <c r="D65" s="1">
        <v>3</v>
      </c>
      <c r="E65" s="1">
        <v>4</v>
      </c>
      <c r="F65" s="2">
        <f>DATE(WeatherData[[#This Row],[Year]],WeatherData[[#This Row],[Month]],WeatherData[[#This Row],[Day]])</f>
        <v>43894</v>
      </c>
      <c r="G65" s="2" t="str">
        <f>TEXT(WeatherData[[#This Row],[Date]], "mmmm")</f>
        <v>March</v>
      </c>
      <c r="H65" s="16">
        <v>1.8</v>
      </c>
      <c r="I65" s="16">
        <v>26.4</v>
      </c>
      <c r="J65" s="16">
        <v>14</v>
      </c>
      <c r="K65" s="6">
        <f t="shared" si="0"/>
        <v>12.399999999999999</v>
      </c>
      <c r="L65" s="4" t="str">
        <f t="shared" si="1"/>
        <v>Normal</v>
      </c>
    </row>
    <row r="66" spans="1:12" ht="18" customHeight="1" x14ac:dyDescent="0.3">
      <c r="A66" s="1">
        <v>23034</v>
      </c>
      <c r="B66" s="1" t="str">
        <f>VLOOKUP( WeatherData[[#This Row],[Station Number]], 'Station Numbers'!A:B,2,FALSE)</f>
        <v xml:space="preserve">Adelaide Airport </v>
      </c>
      <c r="C66" s="1">
        <v>2020</v>
      </c>
      <c r="D66" s="1">
        <v>3</v>
      </c>
      <c r="E66" s="1">
        <v>5</v>
      </c>
      <c r="F66" s="2">
        <f>DATE(WeatherData[[#This Row],[Year]],WeatherData[[#This Row],[Month]],WeatherData[[#This Row],[Day]])</f>
        <v>43895</v>
      </c>
      <c r="G66" s="2" t="str">
        <f>TEXT(WeatherData[[#This Row],[Date]], "mmmm")</f>
        <v>March</v>
      </c>
      <c r="H66" s="16">
        <v>0.2</v>
      </c>
      <c r="I66" s="16">
        <v>21.9</v>
      </c>
      <c r="J66" s="16">
        <v>14.3</v>
      </c>
      <c r="K66" s="6">
        <f t="shared" ref="K66:K129" si="2">I66-J66</f>
        <v>7.5999999999999979</v>
      </c>
      <c r="L66" s="4" t="str">
        <f t="shared" ref="L66:L129" si="3">IF(AND(I66&gt;35, H66&gt;20), "Heatwave + Rain",
   IF(I66&gt;35, "Heatwave",
   IF(H66&gt;20, "Heavy Rain",
   IF(I66&lt;10, "Cold",
   "Normal"))))</f>
        <v>Normal</v>
      </c>
    </row>
    <row r="67" spans="1:12" ht="18" customHeight="1" x14ac:dyDescent="0.3">
      <c r="A67" s="1">
        <v>23034</v>
      </c>
      <c r="B67" s="1" t="str">
        <f>VLOOKUP( WeatherData[[#This Row],[Station Number]], 'Station Numbers'!A:B,2,FALSE)</f>
        <v xml:space="preserve">Adelaide Airport </v>
      </c>
      <c r="C67" s="1">
        <v>2020</v>
      </c>
      <c r="D67" s="1">
        <v>3</v>
      </c>
      <c r="E67" s="1">
        <v>6</v>
      </c>
      <c r="F67" s="2">
        <f>DATE(WeatherData[[#This Row],[Year]],WeatherData[[#This Row],[Month]],WeatherData[[#This Row],[Day]])</f>
        <v>43896</v>
      </c>
      <c r="G67" s="2" t="str">
        <f>TEXT(WeatherData[[#This Row],[Date]], "mmmm")</f>
        <v>March</v>
      </c>
      <c r="H67" s="16">
        <v>0</v>
      </c>
      <c r="I67" s="16">
        <v>23.4</v>
      </c>
      <c r="J67" s="16">
        <v>15.8</v>
      </c>
      <c r="K67" s="6">
        <f t="shared" si="2"/>
        <v>7.5999999999999979</v>
      </c>
      <c r="L67" s="4" t="str">
        <f t="shared" si="3"/>
        <v>Normal</v>
      </c>
    </row>
    <row r="68" spans="1:12" ht="18" customHeight="1" x14ac:dyDescent="0.3">
      <c r="A68" s="1">
        <v>23034</v>
      </c>
      <c r="B68" s="1" t="str">
        <f>VLOOKUP( WeatherData[[#This Row],[Station Number]], 'Station Numbers'!A:B,2,FALSE)</f>
        <v xml:space="preserve">Adelaide Airport </v>
      </c>
      <c r="C68" s="1">
        <v>2020</v>
      </c>
      <c r="D68" s="1">
        <v>3</v>
      </c>
      <c r="E68" s="1">
        <v>7</v>
      </c>
      <c r="F68" s="2">
        <f>DATE(WeatherData[[#This Row],[Year]],WeatherData[[#This Row],[Month]],WeatherData[[#This Row],[Day]])</f>
        <v>43897</v>
      </c>
      <c r="G68" s="2" t="str">
        <f>TEXT(WeatherData[[#This Row],[Date]], "mmmm")</f>
        <v>March</v>
      </c>
      <c r="H68" s="16">
        <v>0</v>
      </c>
      <c r="I68" s="16">
        <v>25.6</v>
      </c>
      <c r="J68" s="16">
        <v>14.5</v>
      </c>
      <c r="K68" s="6">
        <f t="shared" si="2"/>
        <v>11.100000000000001</v>
      </c>
      <c r="L68" s="4" t="str">
        <f t="shared" si="3"/>
        <v>Normal</v>
      </c>
    </row>
    <row r="69" spans="1:12" ht="18" customHeight="1" x14ac:dyDescent="0.3">
      <c r="A69" s="1">
        <v>23034</v>
      </c>
      <c r="B69" s="1" t="str">
        <f>VLOOKUP( WeatherData[[#This Row],[Station Number]], 'Station Numbers'!A:B,2,FALSE)</f>
        <v xml:space="preserve">Adelaide Airport </v>
      </c>
      <c r="C69" s="1">
        <v>2020</v>
      </c>
      <c r="D69" s="1">
        <v>3</v>
      </c>
      <c r="E69" s="1">
        <v>8</v>
      </c>
      <c r="F69" s="2">
        <f>DATE(WeatherData[[#This Row],[Year]],WeatherData[[#This Row],[Month]],WeatherData[[#This Row],[Day]])</f>
        <v>43898</v>
      </c>
      <c r="G69" s="2" t="str">
        <f>TEXT(WeatherData[[#This Row],[Date]], "mmmm")</f>
        <v>March</v>
      </c>
      <c r="H69" s="16">
        <v>0</v>
      </c>
      <c r="I69" s="16">
        <v>25.8</v>
      </c>
      <c r="J69" s="16">
        <v>14.1</v>
      </c>
      <c r="K69" s="6">
        <f t="shared" si="2"/>
        <v>11.700000000000001</v>
      </c>
      <c r="L69" s="4" t="str">
        <f t="shared" si="3"/>
        <v>Normal</v>
      </c>
    </row>
    <row r="70" spans="1:12" ht="18" customHeight="1" x14ac:dyDescent="0.3">
      <c r="A70" s="1">
        <v>23034</v>
      </c>
      <c r="B70" s="1" t="str">
        <f>VLOOKUP( WeatherData[[#This Row],[Station Number]], 'Station Numbers'!A:B,2,FALSE)</f>
        <v xml:space="preserve">Adelaide Airport </v>
      </c>
      <c r="C70" s="1">
        <v>2020</v>
      </c>
      <c r="D70" s="1">
        <v>3</v>
      </c>
      <c r="E70" s="1">
        <v>9</v>
      </c>
      <c r="F70" s="2">
        <f>DATE(WeatherData[[#This Row],[Year]],WeatherData[[#This Row],[Month]],WeatherData[[#This Row],[Day]])</f>
        <v>43899</v>
      </c>
      <c r="G70" s="2" t="str">
        <f>TEXT(WeatherData[[#This Row],[Date]], "mmmm")</f>
        <v>March</v>
      </c>
      <c r="H70" s="16">
        <v>0</v>
      </c>
      <c r="I70" s="16">
        <v>25.9</v>
      </c>
      <c r="J70" s="16">
        <v>14.8</v>
      </c>
      <c r="K70" s="6">
        <f t="shared" si="2"/>
        <v>11.099999999999998</v>
      </c>
      <c r="L70" s="4" t="str">
        <f t="shared" si="3"/>
        <v>Normal</v>
      </c>
    </row>
    <row r="71" spans="1:12" ht="18" customHeight="1" x14ac:dyDescent="0.3">
      <c r="A71" s="1">
        <v>23034</v>
      </c>
      <c r="B71" s="1" t="str">
        <f>VLOOKUP( WeatherData[[#This Row],[Station Number]], 'Station Numbers'!A:B,2,FALSE)</f>
        <v xml:space="preserve">Adelaide Airport </v>
      </c>
      <c r="C71" s="1">
        <v>2020</v>
      </c>
      <c r="D71" s="1">
        <v>3</v>
      </c>
      <c r="E71" s="1">
        <v>10</v>
      </c>
      <c r="F71" s="2">
        <f>DATE(WeatherData[[#This Row],[Year]],WeatherData[[#This Row],[Month]],WeatherData[[#This Row],[Day]])</f>
        <v>43900</v>
      </c>
      <c r="G71" s="2" t="str">
        <f>TEXT(WeatherData[[#This Row],[Date]], "mmmm")</f>
        <v>March</v>
      </c>
      <c r="H71" s="16">
        <v>0</v>
      </c>
      <c r="I71" s="16">
        <v>26</v>
      </c>
      <c r="J71" s="16">
        <v>15.3</v>
      </c>
      <c r="K71" s="6">
        <f t="shared" si="2"/>
        <v>10.7</v>
      </c>
      <c r="L71" s="4" t="str">
        <f t="shared" si="3"/>
        <v>Normal</v>
      </c>
    </row>
    <row r="72" spans="1:12" ht="18" customHeight="1" x14ac:dyDescent="0.3">
      <c r="A72" s="1">
        <v>23034</v>
      </c>
      <c r="B72" s="1" t="str">
        <f>VLOOKUP( WeatherData[[#This Row],[Station Number]], 'Station Numbers'!A:B,2,FALSE)</f>
        <v xml:space="preserve">Adelaide Airport </v>
      </c>
      <c r="C72" s="1">
        <v>2020</v>
      </c>
      <c r="D72" s="1">
        <v>3</v>
      </c>
      <c r="E72" s="1">
        <v>11</v>
      </c>
      <c r="F72" s="2">
        <f>DATE(WeatherData[[#This Row],[Year]],WeatherData[[#This Row],[Month]],WeatherData[[#This Row],[Day]])</f>
        <v>43901</v>
      </c>
      <c r="G72" s="2" t="str">
        <f>TEXT(WeatherData[[#This Row],[Date]], "mmmm")</f>
        <v>March</v>
      </c>
      <c r="H72" s="16">
        <v>0</v>
      </c>
      <c r="I72" s="16">
        <v>30.5</v>
      </c>
      <c r="J72" s="16">
        <v>15.2</v>
      </c>
      <c r="K72" s="6">
        <f t="shared" si="2"/>
        <v>15.3</v>
      </c>
      <c r="L72" s="4" t="str">
        <f t="shared" si="3"/>
        <v>Normal</v>
      </c>
    </row>
    <row r="73" spans="1:12" ht="18" customHeight="1" x14ac:dyDescent="0.3">
      <c r="A73" s="1">
        <v>23034</v>
      </c>
      <c r="B73" s="1" t="str">
        <f>VLOOKUP( WeatherData[[#This Row],[Station Number]], 'Station Numbers'!A:B,2,FALSE)</f>
        <v xml:space="preserve">Adelaide Airport </v>
      </c>
      <c r="C73" s="1">
        <v>2020</v>
      </c>
      <c r="D73" s="1">
        <v>3</v>
      </c>
      <c r="E73" s="1">
        <v>12</v>
      </c>
      <c r="F73" s="2">
        <f>DATE(WeatherData[[#This Row],[Year]],WeatherData[[#This Row],[Month]],WeatherData[[#This Row],[Day]])</f>
        <v>43902</v>
      </c>
      <c r="G73" s="2" t="str">
        <f>TEXT(WeatherData[[#This Row],[Date]], "mmmm")</f>
        <v>March</v>
      </c>
      <c r="H73" s="16">
        <v>0</v>
      </c>
      <c r="I73" s="16">
        <v>30.8</v>
      </c>
      <c r="J73" s="16">
        <v>20.8</v>
      </c>
      <c r="K73" s="6">
        <f t="shared" si="2"/>
        <v>10</v>
      </c>
      <c r="L73" s="4" t="str">
        <f t="shared" si="3"/>
        <v>Normal</v>
      </c>
    </row>
    <row r="74" spans="1:12" ht="18" customHeight="1" x14ac:dyDescent="0.3">
      <c r="A74" s="1">
        <v>23034</v>
      </c>
      <c r="B74" s="1" t="str">
        <f>VLOOKUP( WeatherData[[#This Row],[Station Number]], 'Station Numbers'!A:B,2,FALSE)</f>
        <v xml:space="preserve">Adelaide Airport </v>
      </c>
      <c r="C74" s="1">
        <v>2020</v>
      </c>
      <c r="D74" s="1">
        <v>3</v>
      </c>
      <c r="E74" s="1">
        <v>13</v>
      </c>
      <c r="F74" s="2">
        <f>DATE(WeatherData[[#This Row],[Year]],WeatherData[[#This Row],[Month]],WeatherData[[#This Row],[Day]])</f>
        <v>43903</v>
      </c>
      <c r="G74" s="2" t="str">
        <f>TEXT(WeatherData[[#This Row],[Date]], "mmmm")</f>
        <v>March</v>
      </c>
      <c r="H74" s="16">
        <v>1</v>
      </c>
      <c r="I74" s="16">
        <v>22.5</v>
      </c>
      <c r="J74" s="16">
        <v>19.399999999999999</v>
      </c>
      <c r="K74" s="6">
        <f t="shared" si="2"/>
        <v>3.1000000000000014</v>
      </c>
      <c r="L74" s="4" t="str">
        <f t="shared" si="3"/>
        <v>Normal</v>
      </c>
    </row>
    <row r="75" spans="1:12" ht="18" customHeight="1" x14ac:dyDescent="0.3">
      <c r="A75" s="1">
        <v>23034</v>
      </c>
      <c r="B75" s="1" t="str">
        <f>VLOOKUP( WeatherData[[#This Row],[Station Number]], 'Station Numbers'!A:B,2,FALSE)</f>
        <v xml:space="preserve">Adelaide Airport </v>
      </c>
      <c r="C75" s="1">
        <v>2020</v>
      </c>
      <c r="D75" s="1">
        <v>3</v>
      </c>
      <c r="E75" s="1">
        <v>14</v>
      </c>
      <c r="F75" s="2">
        <f>DATE(WeatherData[[#This Row],[Year]],WeatherData[[#This Row],[Month]],WeatherData[[#This Row],[Day]])</f>
        <v>43904</v>
      </c>
      <c r="G75" s="2" t="str">
        <f>TEXT(WeatherData[[#This Row],[Date]], "mmmm")</f>
        <v>March</v>
      </c>
      <c r="H75" s="16">
        <v>0</v>
      </c>
      <c r="I75" s="16">
        <v>21.3</v>
      </c>
      <c r="J75" s="16">
        <v>12.1</v>
      </c>
      <c r="K75" s="6">
        <f t="shared" si="2"/>
        <v>9.2000000000000011</v>
      </c>
      <c r="L75" s="4" t="str">
        <f t="shared" si="3"/>
        <v>Normal</v>
      </c>
    </row>
    <row r="76" spans="1:12" ht="18" customHeight="1" x14ac:dyDescent="0.3">
      <c r="A76" s="1">
        <v>23034</v>
      </c>
      <c r="B76" s="1" t="str">
        <f>VLOOKUP( WeatherData[[#This Row],[Station Number]], 'Station Numbers'!A:B,2,FALSE)</f>
        <v xml:space="preserve">Adelaide Airport </v>
      </c>
      <c r="C76" s="1">
        <v>2020</v>
      </c>
      <c r="D76" s="1">
        <v>3</v>
      </c>
      <c r="E76" s="1">
        <v>15</v>
      </c>
      <c r="F76" s="2">
        <f>DATE(WeatherData[[#This Row],[Year]],WeatherData[[#This Row],[Month]],WeatherData[[#This Row],[Day]])</f>
        <v>43905</v>
      </c>
      <c r="G76" s="2" t="str">
        <f>TEXT(WeatherData[[#This Row],[Date]], "mmmm")</f>
        <v>March</v>
      </c>
      <c r="H76" s="16">
        <v>0</v>
      </c>
      <c r="I76" s="16">
        <v>24.1</v>
      </c>
      <c r="J76" s="16">
        <v>10.5</v>
      </c>
      <c r="K76" s="6">
        <f t="shared" si="2"/>
        <v>13.600000000000001</v>
      </c>
      <c r="L76" s="4" t="str">
        <f t="shared" si="3"/>
        <v>Normal</v>
      </c>
    </row>
    <row r="77" spans="1:12" ht="18" customHeight="1" x14ac:dyDescent="0.3">
      <c r="A77" s="1">
        <v>23034</v>
      </c>
      <c r="B77" s="1" t="str">
        <f>VLOOKUP( WeatherData[[#This Row],[Station Number]], 'Station Numbers'!A:B,2,FALSE)</f>
        <v xml:space="preserve">Adelaide Airport </v>
      </c>
      <c r="C77" s="1">
        <v>2020</v>
      </c>
      <c r="D77" s="1">
        <v>3</v>
      </c>
      <c r="E77" s="1">
        <v>16</v>
      </c>
      <c r="F77" s="2">
        <f>DATE(WeatherData[[#This Row],[Year]],WeatherData[[#This Row],[Month]],WeatherData[[#This Row],[Day]])</f>
        <v>43906</v>
      </c>
      <c r="G77" s="2" t="str">
        <f>TEXT(WeatherData[[#This Row],[Date]], "mmmm")</f>
        <v>March</v>
      </c>
      <c r="H77" s="16">
        <v>0</v>
      </c>
      <c r="I77" s="16">
        <v>29.1</v>
      </c>
      <c r="J77" s="16">
        <v>13.3</v>
      </c>
      <c r="K77" s="6">
        <f t="shared" si="2"/>
        <v>15.8</v>
      </c>
      <c r="L77" s="4" t="str">
        <f t="shared" si="3"/>
        <v>Normal</v>
      </c>
    </row>
    <row r="78" spans="1:12" ht="18" customHeight="1" x14ac:dyDescent="0.3">
      <c r="A78" s="1">
        <v>23034</v>
      </c>
      <c r="B78" s="1" t="str">
        <f>VLOOKUP( WeatherData[[#This Row],[Station Number]], 'Station Numbers'!A:B,2,FALSE)</f>
        <v xml:space="preserve">Adelaide Airport </v>
      </c>
      <c r="C78" s="1">
        <v>2020</v>
      </c>
      <c r="D78" s="1">
        <v>3</v>
      </c>
      <c r="E78" s="1">
        <v>17</v>
      </c>
      <c r="F78" s="2">
        <f>DATE(WeatherData[[#This Row],[Year]],WeatherData[[#This Row],[Month]],WeatherData[[#This Row],[Day]])</f>
        <v>43907</v>
      </c>
      <c r="G78" s="2" t="str">
        <f>TEXT(WeatherData[[#This Row],[Date]], "mmmm")</f>
        <v>March</v>
      </c>
      <c r="H78" s="16">
        <v>0</v>
      </c>
      <c r="I78" s="16">
        <v>31.7</v>
      </c>
      <c r="J78" s="16">
        <v>19.399999999999999</v>
      </c>
      <c r="K78" s="6">
        <f t="shared" si="2"/>
        <v>12.3</v>
      </c>
      <c r="L78" s="4" t="str">
        <f t="shared" si="3"/>
        <v>Normal</v>
      </c>
    </row>
    <row r="79" spans="1:12" ht="18" customHeight="1" x14ac:dyDescent="0.3">
      <c r="A79" s="1">
        <v>23034</v>
      </c>
      <c r="B79" s="1" t="str">
        <f>VLOOKUP( WeatherData[[#This Row],[Station Number]], 'Station Numbers'!A:B,2,FALSE)</f>
        <v xml:space="preserve">Adelaide Airport </v>
      </c>
      <c r="C79" s="1">
        <v>2020</v>
      </c>
      <c r="D79" s="1">
        <v>3</v>
      </c>
      <c r="E79" s="1">
        <v>18</v>
      </c>
      <c r="F79" s="2">
        <f>DATE(WeatherData[[#This Row],[Year]],WeatherData[[#This Row],[Month]],WeatherData[[#This Row],[Day]])</f>
        <v>43908</v>
      </c>
      <c r="G79" s="2" t="str">
        <f>TEXT(WeatherData[[#This Row],[Date]], "mmmm")</f>
        <v>March</v>
      </c>
      <c r="H79" s="16">
        <v>0</v>
      </c>
      <c r="I79" s="16">
        <v>34.4</v>
      </c>
      <c r="J79" s="16">
        <v>19.5</v>
      </c>
      <c r="K79" s="6">
        <f t="shared" si="2"/>
        <v>14.899999999999999</v>
      </c>
      <c r="L79" s="4" t="str">
        <f t="shared" si="3"/>
        <v>Normal</v>
      </c>
    </row>
    <row r="80" spans="1:12" ht="18" customHeight="1" x14ac:dyDescent="0.3">
      <c r="A80" s="1">
        <v>23034</v>
      </c>
      <c r="B80" s="1" t="str">
        <f>VLOOKUP( WeatherData[[#This Row],[Station Number]], 'Station Numbers'!A:B,2,FALSE)</f>
        <v xml:space="preserve">Adelaide Airport </v>
      </c>
      <c r="C80" s="1">
        <v>2020</v>
      </c>
      <c r="D80" s="1">
        <v>3</v>
      </c>
      <c r="E80" s="1">
        <v>19</v>
      </c>
      <c r="F80" s="2">
        <f>DATE(WeatherData[[#This Row],[Year]],WeatherData[[#This Row],[Month]],WeatherData[[#This Row],[Day]])</f>
        <v>43909</v>
      </c>
      <c r="G80" s="2" t="str">
        <f>TEXT(WeatherData[[#This Row],[Date]], "mmmm")</f>
        <v>March</v>
      </c>
      <c r="H80" s="16">
        <v>0</v>
      </c>
      <c r="I80" s="16">
        <v>31</v>
      </c>
      <c r="J80" s="16">
        <v>24.5</v>
      </c>
      <c r="K80" s="6">
        <f t="shared" si="2"/>
        <v>6.5</v>
      </c>
      <c r="L80" s="4" t="str">
        <f t="shared" si="3"/>
        <v>Normal</v>
      </c>
    </row>
    <row r="81" spans="1:12" ht="18" customHeight="1" x14ac:dyDescent="0.3">
      <c r="A81" s="1">
        <v>23034</v>
      </c>
      <c r="B81" s="1" t="str">
        <f>VLOOKUP( WeatherData[[#This Row],[Station Number]], 'Station Numbers'!A:B,2,FALSE)</f>
        <v xml:space="preserve">Adelaide Airport </v>
      </c>
      <c r="C81" s="1">
        <v>2020</v>
      </c>
      <c r="D81" s="1">
        <v>3</v>
      </c>
      <c r="E81" s="1">
        <v>20</v>
      </c>
      <c r="F81" s="2">
        <f>DATE(WeatherData[[#This Row],[Year]],WeatherData[[#This Row],[Month]],WeatherData[[#This Row],[Day]])</f>
        <v>43910</v>
      </c>
      <c r="G81" s="2" t="str">
        <f>TEXT(WeatherData[[#This Row],[Date]], "mmmm")</f>
        <v>March</v>
      </c>
      <c r="H81" s="16">
        <v>0</v>
      </c>
      <c r="I81" s="16">
        <v>22.6</v>
      </c>
      <c r="J81" s="16">
        <v>17.8</v>
      </c>
      <c r="K81" s="6">
        <f t="shared" si="2"/>
        <v>4.8000000000000007</v>
      </c>
      <c r="L81" s="4" t="str">
        <f t="shared" si="3"/>
        <v>Normal</v>
      </c>
    </row>
    <row r="82" spans="1:12" ht="18" customHeight="1" x14ac:dyDescent="0.3">
      <c r="A82" s="1">
        <v>23034</v>
      </c>
      <c r="B82" s="1" t="str">
        <f>VLOOKUP( WeatherData[[#This Row],[Station Number]], 'Station Numbers'!A:B,2,FALSE)</f>
        <v xml:space="preserve">Adelaide Airport </v>
      </c>
      <c r="C82" s="1">
        <v>2020</v>
      </c>
      <c r="D82" s="1">
        <v>3</v>
      </c>
      <c r="E82" s="1">
        <v>21</v>
      </c>
      <c r="F82" s="2">
        <f>DATE(WeatherData[[#This Row],[Year]],WeatherData[[#This Row],[Month]],WeatherData[[#This Row],[Day]])</f>
        <v>43911</v>
      </c>
      <c r="G82" s="2" t="str">
        <f>TEXT(WeatherData[[#This Row],[Date]], "mmmm")</f>
        <v>March</v>
      </c>
      <c r="H82" s="16">
        <v>0</v>
      </c>
      <c r="I82" s="16">
        <v>21.4</v>
      </c>
      <c r="J82" s="16">
        <v>11.2</v>
      </c>
      <c r="K82" s="6">
        <f t="shared" si="2"/>
        <v>10.199999999999999</v>
      </c>
      <c r="L82" s="4" t="str">
        <f t="shared" si="3"/>
        <v>Normal</v>
      </c>
    </row>
    <row r="83" spans="1:12" ht="18" customHeight="1" x14ac:dyDescent="0.3">
      <c r="A83" s="1">
        <v>23034</v>
      </c>
      <c r="B83" s="1" t="str">
        <f>VLOOKUP( WeatherData[[#This Row],[Station Number]], 'Station Numbers'!A:B,2,FALSE)</f>
        <v xml:space="preserve">Adelaide Airport </v>
      </c>
      <c r="C83" s="1">
        <v>2020</v>
      </c>
      <c r="D83" s="1">
        <v>3</v>
      </c>
      <c r="E83" s="1">
        <v>22</v>
      </c>
      <c r="F83" s="2">
        <f>DATE(WeatherData[[#This Row],[Year]],WeatherData[[#This Row],[Month]],WeatherData[[#This Row],[Day]])</f>
        <v>43912</v>
      </c>
      <c r="G83" s="2" t="str">
        <f>TEXT(WeatherData[[#This Row],[Date]], "mmmm")</f>
        <v>March</v>
      </c>
      <c r="H83" s="16">
        <v>0</v>
      </c>
      <c r="I83" s="16">
        <v>23.7</v>
      </c>
      <c r="J83" s="16">
        <v>13.4</v>
      </c>
      <c r="K83" s="6">
        <f t="shared" si="2"/>
        <v>10.299999999999999</v>
      </c>
      <c r="L83" s="4" t="str">
        <f t="shared" si="3"/>
        <v>Normal</v>
      </c>
    </row>
    <row r="84" spans="1:12" ht="18" customHeight="1" x14ac:dyDescent="0.3">
      <c r="A84" s="1">
        <v>23034</v>
      </c>
      <c r="B84" s="1" t="str">
        <f>VLOOKUP( WeatherData[[#This Row],[Station Number]], 'Station Numbers'!A:B,2,FALSE)</f>
        <v xml:space="preserve">Adelaide Airport </v>
      </c>
      <c r="C84" s="1">
        <v>2020</v>
      </c>
      <c r="D84" s="1">
        <v>3</v>
      </c>
      <c r="E84" s="1">
        <v>23</v>
      </c>
      <c r="F84" s="2">
        <f>DATE(WeatherData[[#This Row],[Year]],WeatherData[[#This Row],[Month]],WeatherData[[#This Row],[Day]])</f>
        <v>43913</v>
      </c>
      <c r="G84" s="2" t="str">
        <f>TEXT(WeatherData[[#This Row],[Date]], "mmmm")</f>
        <v>March</v>
      </c>
      <c r="H84" s="16">
        <v>0</v>
      </c>
      <c r="I84" s="16">
        <v>21.4</v>
      </c>
      <c r="J84" s="16">
        <v>12.7</v>
      </c>
      <c r="K84" s="6">
        <f t="shared" si="2"/>
        <v>8.6999999999999993</v>
      </c>
      <c r="L84" s="4" t="str">
        <f t="shared" si="3"/>
        <v>Normal</v>
      </c>
    </row>
    <row r="85" spans="1:12" ht="18" customHeight="1" x14ac:dyDescent="0.3">
      <c r="A85" s="1">
        <v>23034</v>
      </c>
      <c r="B85" s="1" t="str">
        <f>VLOOKUP( WeatherData[[#This Row],[Station Number]], 'Station Numbers'!A:B,2,FALSE)</f>
        <v xml:space="preserve">Adelaide Airport </v>
      </c>
      <c r="C85" s="1">
        <v>2020</v>
      </c>
      <c r="D85" s="1">
        <v>3</v>
      </c>
      <c r="E85" s="1">
        <v>24</v>
      </c>
      <c r="F85" s="2">
        <f>DATE(WeatherData[[#This Row],[Year]],WeatherData[[#This Row],[Month]],WeatherData[[#This Row],[Day]])</f>
        <v>43914</v>
      </c>
      <c r="G85" s="2" t="str">
        <f>TEXT(WeatherData[[#This Row],[Date]], "mmmm")</f>
        <v>March</v>
      </c>
      <c r="H85" s="16">
        <v>0</v>
      </c>
      <c r="I85" s="16">
        <v>20.5</v>
      </c>
      <c r="J85" s="16">
        <v>14.7</v>
      </c>
      <c r="K85" s="6">
        <f t="shared" si="2"/>
        <v>5.8000000000000007</v>
      </c>
      <c r="L85" s="4" t="str">
        <f t="shared" si="3"/>
        <v>Normal</v>
      </c>
    </row>
    <row r="86" spans="1:12" ht="18" customHeight="1" x14ac:dyDescent="0.3">
      <c r="A86" s="1">
        <v>23034</v>
      </c>
      <c r="B86" s="1" t="str">
        <f>VLOOKUP( WeatherData[[#This Row],[Station Number]], 'Station Numbers'!A:B,2,FALSE)</f>
        <v xml:space="preserve">Adelaide Airport </v>
      </c>
      <c r="C86" s="1">
        <v>2020</v>
      </c>
      <c r="D86" s="1">
        <v>3</v>
      </c>
      <c r="E86" s="1">
        <v>25</v>
      </c>
      <c r="F86" s="2">
        <f>DATE(WeatherData[[#This Row],[Year]],WeatherData[[#This Row],[Month]],WeatherData[[#This Row],[Day]])</f>
        <v>43915</v>
      </c>
      <c r="G86" s="2" t="str">
        <f>TEXT(WeatherData[[#This Row],[Date]], "mmmm")</f>
        <v>March</v>
      </c>
      <c r="H86" s="16">
        <v>0</v>
      </c>
      <c r="I86" s="16">
        <v>21.9</v>
      </c>
      <c r="J86" s="16">
        <v>12.9</v>
      </c>
      <c r="K86" s="6">
        <f t="shared" si="2"/>
        <v>8.9999999999999982</v>
      </c>
      <c r="L86" s="4" t="str">
        <f t="shared" si="3"/>
        <v>Normal</v>
      </c>
    </row>
    <row r="87" spans="1:12" ht="18" customHeight="1" x14ac:dyDescent="0.3">
      <c r="A87" s="1">
        <v>23034</v>
      </c>
      <c r="B87" s="1" t="str">
        <f>VLOOKUP( WeatherData[[#This Row],[Station Number]], 'Station Numbers'!A:B,2,FALSE)</f>
        <v xml:space="preserve">Adelaide Airport </v>
      </c>
      <c r="C87" s="1">
        <v>2020</v>
      </c>
      <c r="D87" s="1">
        <v>3</v>
      </c>
      <c r="E87" s="1">
        <v>26</v>
      </c>
      <c r="F87" s="2">
        <f>DATE(WeatherData[[#This Row],[Year]],WeatherData[[#This Row],[Month]],WeatherData[[#This Row],[Day]])</f>
        <v>43916</v>
      </c>
      <c r="G87" s="2" t="str">
        <f>TEXT(WeatherData[[#This Row],[Date]], "mmmm")</f>
        <v>March</v>
      </c>
      <c r="H87" s="16">
        <v>0</v>
      </c>
      <c r="I87" s="16">
        <v>21.3</v>
      </c>
      <c r="J87" s="16">
        <v>10.9</v>
      </c>
      <c r="K87" s="6">
        <f t="shared" si="2"/>
        <v>10.4</v>
      </c>
      <c r="L87" s="4" t="str">
        <f t="shared" si="3"/>
        <v>Normal</v>
      </c>
    </row>
    <row r="88" spans="1:12" ht="18" customHeight="1" x14ac:dyDescent="0.3">
      <c r="A88" s="1">
        <v>23034</v>
      </c>
      <c r="B88" s="1" t="str">
        <f>VLOOKUP( WeatherData[[#This Row],[Station Number]], 'Station Numbers'!A:B,2,FALSE)</f>
        <v xml:space="preserve">Adelaide Airport </v>
      </c>
      <c r="C88" s="1">
        <v>2020</v>
      </c>
      <c r="D88" s="1">
        <v>3</v>
      </c>
      <c r="E88" s="1">
        <v>27</v>
      </c>
      <c r="F88" s="2">
        <f>DATE(WeatherData[[#This Row],[Year]],WeatherData[[#This Row],[Month]],WeatherData[[#This Row],[Day]])</f>
        <v>43917</v>
      </c>
      <c r="G88" s="2" t="str">
        <f>TEXT(WeatherData[[#This Row],[Date]], "mmmm")</f>
        <v>March</v>
      </c>
      <c r="H88" s="16">
        <v>0</v>
      </c>
      <c r="I88" s="16">
        <v>24.8</v>
      </c>
      <c r="J88" s="16">
        <v>9.4</v>
      </c>
      <c r="K88" s="6">
        <f t="shared" si="2"/>
        <v>15.4</v>
      </c>
      <c r="L88" s="4" t="str">
        <f t="shared" si="3"/>
        <v>Normal</v>
      </c>
    </row>
    <row r="89" spans="1:12" ht="18" customHeight="1" x14ac:dyDescent="0.3">
      <c r="A89" s="1">
        <v>23034</v>
      </c>
      <c r="B89" s="1" t="str">
        <f>VLOOKUP( WeatherData[[#This Row],[Station Number]], 'Station Numbers'!A:B,2,FALSE)</f>
        <v xml:space="preserve">Adelaide Airport </v>
      </c>
      <c r="C89" s="1">
        <v>2020</v>
      </c>
      <c r="D89" s="1">
        <v>3</v>
      </c>
      <c r="E89" s="1">
        <v>28</v>
      </c>
      <c r="F89" s="2">
        <f>DATE(WeatherData[[#This Row],[Year]],WeatherData[[#This Row],[Month]],WeatherData[[#This Row],[Day]])</f>
        <v>43918</v>
      </c>
      <c r="G89" s="2" t="str">
        <f>TEXT(WeatherData[[#This Row],[Date]], "mmmm")</f>
        <v>March</v>
      </c>
      <c r="H89" s="16">
        <v>0</v>
      </c>
      <c r="I89" s="16">
        <v>29.5</v>
      </c>
      <c r="J89" s="16">
        <v>12.7</v>
      </c>
      <c r="K89" s="6">
        <f t="shared" si="2"/>
        <v>16.8</v>
      </c>
      <c r="L89" s="4" t="str">
        <f t="shared" si="3"/>
        <v>Normal</v>
      </c>
    </row>
    <row r="90" spans="1:12" ht="18" customHeight="1" x14ac:dyDescent="0.3">
      <c r="A90" s="1">
        <v>23034</v>
      </c>
      <c r="B90" s="1" t="str">
        <f>VLOOKUP( WeatherData[[#This Row],[Station Number]], 'Station Numbers'!A:B,2,FALSE)</f>
        <v xml:space="preserve">Adelaide Airport </v>
      </c>
      <c r="C90" s="1">
        <v>2020</v>
      </c>
      <c r="D90" s="1">
        <v>3</v>
      </c>
      <c r="E90" s="1">
        <v>29</v>
      </c>
      <c r="F90" s="2">
        <f>DATE(WeatherData[[#This Row],[Year]],WeatherData[[#This Row],[Month]],WeatherData[[#This Row],[Day]])</f>
        <v>43919</v>
      </c>
      <c r="G90" s="2" t="str">
        <f>TEXT(WeatherData[[#This Row],[Date]], "mmmm")</f>
        <v>March</v>
      </c>
      <c r="H90" s="16">
        <v>0</v>
      </c>
      <c r="I90" s="16">
        <v>22.7</v>
      </c>
      <c r="J90" s="16">
        <v>18.7</v>
      </c>
      <c r="K90" s="6">
        <f t="shared" si="2"/>
        <v>4</v>
      </c>
      <c r="L90" s="4" t="str">
        <f t="shared" si="3"/>
        <v>Normal</v>
      </c>
    </row>
    <row r="91" spans="1:12" ht="18" customHeight="1" x14ac:dyDescent="0.3">
      <c r="A91" s="1">
        <v>23034</v>
      </c>
      <c r="B91" s="1" t="str">
        <f>VLOOKUP( WeatherData[[#This Row],[Station Number]], 'Station Numbers'!A:B,2,FALSE)</f>
        <v xml:space="preserve">Adelaide Airport </v>
      </c>
      <c r="C91" s="1">
        <v>2020</v>
      </c>
      <c r="D91" s="1">
        <v>3</v>
      </c>
      <c r="E91" s="1">
        <v>30</v>
      </c>
      <c r="F91" s="2">
        <f>DATE(WeatherData[[#This Row],[Year]],WeatherData[[#This Row],[Month]],WeatherData[[#This Row],[Day]])</f>
        <v>43920</v>
      </c>
      <c r="G91" s="2" t="str">
        <f>TEXT(WeatherData[[#This Row],[Date]], "mmmm")</f>
        <v>March</v>
      </c>
      <c r="H91" s="16">
        <v>0.2</v>
      </c>
      <c r="I91" s="16">
        <v>21.8</v>
      </c>
      <c r="J91" s="16">
        <v>17.2</v>
      </c>
      <c r="K91" s="6">
        <f t="shared" si="2"/>
        <v>4.6000000000000014</v>
      </c>
      <c r="L91" s="4" t="str">
        <f t="shared" si="3"/>
        <v>Normal</v>
      </c>
    </row>
    <row r="92" spans="1:12" ht="18" customHeight="1" x14ac:dyDescent="0.3">
      <c r="A92" s="1">
        <v>23034</v>
      </c>
      <c r="B92" s="1" t="str">
        <f>VLOOKUP( WeatherData[[#This Row],[Station Number]], 'Station Numbers'!A:B,2,FALSE)</f>
        <v xml:space="preserve">Adelaide Airport </v>
      </c>
      <c r="C92" s="1">
        <v>2020</v>
      </c>
      <c r="D92" s="1">
        <v>3</v>
      </c>
      <c r="E92" s="1">
        <v>31</v>
      </c>
      <c r="F92" s="2">
        <f>DATE(WeatherData[[#This Row],[Year]],WeatherData[[#This Row],[Month]],WeatherData[[#This Row],[Day]])</f>
        <v>43921</v>
      </c>
      <c r="G92" s="2" t="str">
        <f>TEXT(WeatherData[[#This Row],[Date]], "mmmm")</f>
        <v>March</v>
      </c>
      <c r="H92" s="16">
        <v>0</v>
      </c>
      <c r="I92" s="16">
        <v>21.2</v>
      </c>
      <c r="J92" s="16">
        <v>12.7</v>
      </c>
      <c r="K92" s="6">
        <f t="shared" si="2"/>
        <v>8.5</v>
      </c>
      <c r="L92" s="4" t="str">
        <f t="shared" si="3"/>
        <v>Normal</v>
      </c>
    </row>
    <row r="93" spans="1:12" ht="18" customHeight="1" x14ac:dyDescent="0.3">
      <c r="A93" s="1">
        <v>23034</v>
      </c>
      <c r="B93" s="1" t="str">
        <f>VLOOKUP( WeatherData[[#This Row],[Station Number]], 'Station Numbers'!A:B,2,FALSE)</f>
        <v xml:space="preserve">Adelaide Airport </v>
      </c>
      <c r="C93" s="1">
        <v>2020</v>
      </c>
      <c r="D93" s="1">
        <v>4</v>
      </c>
      <c r="E93" s="1">
        <v>1</v>
      </c>
      <c r="F93" s="2">
        <f>DATE(WeatherData[[#This Row],[Year]],WeatherData[[#This Row],[Month]],WeatherData[[#This Row],[Day]])</f>
        <v>43922</v>
      </c>
      <c r="G93" s="2" t="str">
        <f>TEXT(WeatherData[[#This Row],[Date]], "mmmm")</f>
        <v>April</v>
      </c>
      <c r="H93" s="16">
        <v>0</v>
      </c>
      <c r="I93" s="16">
        <v>23.3</v>
      </c>
      <c r="J93" s="16">
        <v>16</v>
      </c>
      <c r="K93" s="6">
        <f t="shared" si="2"/>
        <v>7.3000000000000007</v>
      </c>
      <c r="L93" s="4" t="str">
        <f t="shared" si="3"/>
        <v>Normal</v>
      </c>
    </row>
    <row r="94" spans="1:12" ht="18" customHeight="1" x14ac:dyDescent="0.3">
      <c r="A94" s="1">
        <v>23034</v>
      </c>
      <c r="B94" s="1" t="str">
        <f>VLOOKUP( WeatherData[[#This Row],[Station Number]], 'Station Numbers'!A:B,2,FALSE)</f>
        <v xml:space="preserve">Adelaide Airport </v>
      </c>
      <c r="C94" s="1">
        <v>2020</v>
      </c>
      <c r="D94" s="1">
        <v>4</v>
      </c>
      <c r="E94" s="1">
        <v>2</v>
      </c>
      <c r="F94" s="2">
        <f>DATE(WeatherData[[#This Row],[Year]],WeatherData[[#This Row],[Month]],WeatherData[[#This Row],[Day]])</f>
        <v>43923</v>
      </c>
      <c r="G94" s="2" t="str">
        <f>TEXT(WeatherData[[#This Row],[Date]], "mmmm")</f>
        <v>April</v>
      </c>
      <c r="H94" s="16">
        <v>0</v>
      </c>
      <c r="I94" s="16">
        <v>23.2</v>
      </c>
      <c r="J94" s="16">
        <v>10.9</v>
      </c>
      <c r="K94" s="6">
        <f t="shared" si="2"/>
        <v>12.299999999999999</v>
      </c>
      <c r="L94" s="4" t="str">
        <f t="shared" si="3"/>
        <v>Normal</v>
      </c>
    </row>
    <row r="95" spans="1:12" ht="18" customHeight="1" x14ac:dyDescent="0.3">
      <c r="A95" s="1">
        <v>23034</v>
      </c>
      <c r="B95" s="1" t="str">
        <f>VLOOKUP( WeatherData[[#This Row],[Station Number]], 'Station Numbers'!A:B,2,FALSE)</f>
        <v xml:space="preserve">Adelaide Airport </v>
      </c>
      <c r="C95" s="1">
        <v>2020</v>
      </c>
      <c r="D95" s="1">
        <v>4</v>
      </c>
      <c r="E95" s="1">
        <v>3</v>
      </c>
      <c r="F95" s="2">
        <f>DATE(WeatherData[[#This Row],[Year]],WeatherData[[#This Row],[Month]],WeatherData[[#This Row],[Day]])</f>
        <v>43924</v>
      </c>
      <c r="G95" s="2" t="str">
        <f>TEXT(WeatherData[[#This Row],[Date]], "mmmm")</f>
        <v>April</v>
      </c>
      <c r="H95" s="16">
        <v>0</v>
      </c>
      <c r="I95" s="16">
        <v>23.8</v>
      </c>
      <c r="J95" s="16">
        <v>13.4</v>
      </c>
      <c r="K95" s="6">
        <f t="shared" si="2"/>
        <v>10.4</v>
      </c>
      <c r="L95" s="4" t="str">
        <f t="shared" si="3"/>
        <v>Normal</v>
      </c>
    </row>
    <row r="96" spans="1:12" ht="18" customHeight="1" x14ac:dyDescent="0.3">
      <c r="A96" s="1">
        <v>23034</v>
      </c>
      <c r="B96" s="1" t="str">
        <f>VLOOKUP( WeatherData[[#This Row],[Station Number]], 'Station Numbers'!A:B,2,FALSE)</f>
        <v xml:space="preserve">Adelaide Airport </v>
      </c>
      <c r="C96" s="1">
        <v>2020</v>
      </c>
      <c r="D96" s="1">
        <v>4</v>
      </c>
      <c r="E96" s="1">
        <v>4</v>
      </c>
      <c r="F96" s="2">
        <f>DATE(WeatherData[[#This Row],[Year]],WeatherData[[#This Row],[Month]],WeatherData[[#This Row],[Day]])</f>
        <v>43925</v>
      </c>
      <c r="G96" s="2" t="str">
        <f>TEXT(WeatherData[[#This Row],[Date]], "mmmm")</f>
        <v>April</v>
      </c>
      <c r="H96" s="16">
        <v>13.6</v>
      </c>
      <c r="I96" s="16">
        <v>18.7</v>
      </c>
      <c r="J96" s="16">
        <v>13.4</v>
      </c>
      <c r="K96" s="6">
        <f t="shared" si="2"/>
        <v>5.2999999999999989</v>
      </c>
      <c r="L96" s="4" t="str">
        <f t="shared" si="3"/>
        <v>Normal</v>
      </c>
    </row>
    <row r="97" spans="1:12" ht="18" customHeight="1" x14ac:dyDescent="0.3">
      <c r="A97" s="1">
        <v>23034</v>
      </c>
      <c r="B97" s="1" t="str">
        <f>VLOOKUP( WeatherData[[#This Row],[Station Number]], 'Station Numbers'!A:B,2,FALSE)</f>
        <v xml:space="preserve">Adelaide Airport </v>
      </c>
      <c r="C97" s="1">
        <v>2020</v>
      </c>
      <c r="D97" s="1">
        <v>4</v>
      </c>
      <c r="E97" s="1">
        <v>5</v>
      </c>
      <c r="F97" s="2">
        <f>DATE(WeatherData[[#This Row],[Year]],WeatherData[[#This Row],[Month]],WeatherData[[#This Row],[Day]])</f>
        <v>43926</v>
      </c>
      <c r="G97" s="2" t="str">
        <f>TEXT(WeatherData[[#This Row],[Date]], "mmmm")</f>
        <v>April</v>
      </c>
      <c r="H97" s="16">
        <v>0.4</v>
      </c>
      <c r="I97" s="16">
        <v>20.6</v>
      </c>
      <c r="J97" s="16">
        <v>14.3</v>
      </c>
      <c r="K97" s="6">
        <f t="shared" si="2"/>
        <v>6.3000000000000007</v>
      </c>
      <c r="L97" s="4" t="str">
        <f t="shared" si="3"/>
        <v>Normal</v>
      </c>
    </row>
    <row r="98" spans="1:12" ht="18" customHeight="1" x14ac:dyDescent="0.3">
      <c r="A98" s="1">
        <v>23034</v>
      </c>
      <c r="B98" s="1" t="str">
        <f>VLOOKUP( WeatherData[[#This Row],[Station Number]], 'Station Numbers'!A:B,2,FALSE)</f>
        <v xml:space="preserve">Adelaide Airport </v>
      </c>
      <c r="C98" s="1">
        <v>2020</v>
      </c>
      <c r="D98" s="1">
        <v>4</v>
      </c>
      <c r="E98" s="1">
        <v>6</v>
      </c>
      <c r="F98" s="2">
        <f>DATE(WeatherData[[#This Row],[Year]],WeatherData[[#This Row],[Month]],WeatherData[[#This Row],[Day]])</f>
        <v>43927</v>
      </c>
      <c r="G98" s="2" t="str">
        <f>TEXT(WeatherData[[#This Row],[Date]], "mmmm")</f>
        <v>April</v>
      </c>
      <c r="H98" s="16">
        <v>3</v>
      </c>
      <c r="I98" s="16">
        <v>19.7</v>
      </c>
      <c r="J98" s="16">
        <v>11.9</v>
      </c>
      <c r="K98" s="6">
        <f t="shared" si="2"/>
        <v>7.7999999999999989</v>
      </c>
      <c r="L98" s="4" t="str">
        <f t="shared" si="3"/>
        <v>Normal</v>
      </c>
    </row>
    <row r="99" spans="1:12" ht="18" customHeight="1" x14ac:dyDescent="0.3">
      <c r="A99" s="1">
        <v>23034</v>
      </c>
      <c r="B99" s="1" t="str">
        <f>VLOOKUP( WeatherData[[#This Row],[Station Number]], 'Station Numbers'!A:B,2,FALSE)</f>
        <v xml:space="preserve">Adelaide Airport </v>
      </c>
      <c r="C99" s="1">
        <v>2020</v>
      </c>
      <c r="D99" s="1">
        <v>4</v>
      </c>
      <c r="E99" s="1">
        <v>7</v>
      </c>
      <c r="F99" s="2">
        <f>DATE(WeatherData[[#This Row],[Year]],WeatherData[[#This Row],[Month]],WeatherData[[#This Row],[Day]])</f>
        <v>43928</v>
      </c>
      <c r="G99" s="2" t="str">
        <f>TEXT(WeatherData[[#This Row],[Date]], "mmmm")</f>
        <v>April</v>
      </c>
      <c r="H99" s="16">
        <v>0</v>
      </c>
      <c r="I99" s="16">
        <v>21.4</v>
      </c>
      <c r="J99" s="16">
        <v>14.3</v>
      </c>
      <c r="K99" s="6">
        <f t="shared" si="2"/>
        <v>7.0999999999999979</v>
      </c>
      <c r="L99" s="4" t="str">
        <f t="shared" si="3"/>
        <v>Normal</v>
      </c>
    </row>
    <row r="100" spans="1:12" ht="18" customHeight="1" x14ac:dyDescent="0.3">
      <c r="A100" s="1">
        <v>23034</v>
      </c>
      <c r="B100" s="1" t="str">
        <f>VLOOKUP( WeatherData[[#This Row],[Station Number]], 'Station Numbers'!A:B,2,FALSE)</f>
        <v xml:space="preserve">Adelaide Airport </v>
      </c>
      <c r="C100" s="1">
        <v>2020</v>
      </c>
      <c r="D100" s="1">
        <v>4</v>
      </c>
      <c r="E100" s="1">
        <v>8</v>
      </c>
      <c r="F100" s="2">
        <f>DATE(WeatherData[[#This Row],[Year]],WeatherData[[#This Row],[Month]],WeatherData[[#This Row],[Day]])</f>
        <v>43929</v>
      </c>
      <c r="G100" s="2" t="str">
        <f>TEXT(WeatherData[[#This Row],[Date]], "mmmm")</f>
        <v>April</v>
      </c>
      <c r="H100" s="16">
        <v>0</v>
      </c>
      <c r="I100" s="16">
        <v>21.2</v>
      </c>
      <c r="J100" s="16">
        <v>12.4</v>
      </c>
      <c r="K100" s="6">
        <f t="shared" si="2"/>
        <v>8.7999999999999989</v>
      </c>
      <c r="L100" s="4" t="str">
        <f t="shared" si="3"/>
        <v>Normal</v>
      </c>
    </row>
    <row r="101" spans="1:12" ht="18" customHeight="1" x14ac:dyDescent="0.3">
      <c r="A101" s="1">
        <v>23034</v>
      </c>
      <c r="B101" s="1" t="str">
        <f>VLOOKUP( WeatherData[[#This Row],[Station Number]], 'Station Numbers'!A:B,2,FALSE)</f>
        <v xml:space="preserve">Adelaide Airport </v>
      </c>
      <c r="C101" s="1">
        <v>2020</v>
      </c>
      <c r="D101" s="1">
        <v>4</v>
      </c>
      <c r="E101" s="1">
        <v>9</v>
      </c>
      <c r="F101" s="2">
        <f>DATE(WeatherData[[#This Row],[Year]],WeatherData[[#This Row],[Month]],WeatherData[[#This Row],[Day]])</f>
        <v>43930</v>
      </c>
      <c r="G101" s="2" t="str">
        <f>TEXT(WeatherData[[#This Row],[Date]], "mmmm")</f>
        <v>April</v>
      </c>
      <c r="H101" s="16">
        <v>0</v>
      </c>
      <c r="I101" s="16">
        <v>19.899999999999999</v>
      </c>
      <c r="J101" s="16">
        <v>9.6</v>
      </c>
      <c r="K101" s="6">
        <f t="shared" si="2"/>
        <v>10.299999999999999</v>
      </c>
      <c r="L101" s="4" t="str">
        <f t="shared" si="3"/>
        <v>Normal</v>
      </c>
    </row>
    <row r="102" spans="1:12" ht="18" customHeight="1" x14ac:dyDescent="0.3">
      <c r="A102" s="1">
        <v>23034</v>
      </c>
      <c r="B102" s="1" t="str">
        <f>VLOOKUP( WeatherData[[#This Row],[Station Number]], 'Station Numbers'!A:B,2,FALSE)</f>
        <v xml:space="preserve">Adelaide Airport </v>
      </c>
      <c r="C102" s="1">
        <v>2020</v>
      </c>
      <c r="D102" s="1">
        <v>4</v>
      </c>
      <c r="E102" s="1">
        <v>10</v>
      </c>
      <c r="F102" s="2">
        <f>DATE(WeatherData[[#This Row],[Year]],WeatherData[[#This Row],[Month]],WeatherData[[#This Row],[Day]])</f>
        <v>43931</v>
      </c>
      <c r="G102" s="2" t="str">
        <f>TEXT(WeatherData[[#This Row],[Date]], "mmmm")</f>
        <v>April</v>
      </c>
      <c r="H102" s="16">
        <v>0</v>
      </c>
      <c r="I102" s="16">
        <v>22.3</v>
      </c>
      <c r="J102" s="16">
        <v>11.7</v>
      </c>
      <c r="K102" s="6">
        <f t="shared" si="2"/>
        <v>10.600000000000001</v>
      </c>
      <c r="L102" s="4" t="str">
        <f t="shared" si="3"/>
        <v>Normal</v>
      </c>
    </row>
    <row r="103" spans="1:12" ht="18" customHeight="1" x14ac:dyDescent="0.3">
      <c r="A103" s="1">
        <v>23034</v>
      </c>
      <c r="B103" s="1" t="str">
        <f>VLOOKUP( WeatherData[[#This Row],[Station Number]], 'Station Numbers'!A:B,2,FALSE)</f>
        <v xml:space="preserve">Adelaide Airport </v>
      </c>
      <c r="C103" s="1">
        <v>2020</v>
      </c>
      <c r="D103" s="1">
        <v>4</v>
      </c>
      <c r="E103" s="1">
        <v>11</v>
      </c>
      <c r="F103" s="2">
        <f>DATE(WeatherData[[#This Row],[Year]],WeatherData[[#This Row],[Month]],WeatherData[[#This Row],[Day]])</f>
        <v>43932</v>
      </c>
      <c r="G103" s="2" t="str">
        <f>TEXT(WeatherData[[#This Row],[Date]], "mmmm")</f>
        <v>April</v>
      </c>
      <c r="H103" s="16">
        <v>0</v>
      </c>
      <c r="I103" s="16">
        <v>19.7</v>
      </c>
      <c r="J103" s="16">
        <v>15.9</v>
      </c>
      <c r="K103" s="6">
        <f t="shared" si="2"/>
        <v>3.7999999999999989</v>
      </c>
      <c r="L103" s="4" t="str">
        <f t="shared" si="3"/>
        <v>Normal</v>
      </c>
    </row>
    <row r="104" spans="1:12" ht="18" customHeight="1" x14ac:dyDescent="0.3">
      <c r="A104" s="1">
        <v>23034</v>
      </c>
      <c r="B104" s="1" t="str">
        <f>VLOOKUP( WeatherData[[#This Row],[Station Number]], 'Station Numbers'!A:B,2,FALSE)</f>
        <v xml:space="preserve">Adelaide Airport </v>
      </c>
      <c r="C104" s="1">
        <v>2020</v>
      </c>
      <c r="D104" s="1">
        <v>4</v>
      </c>
      <c r="E104" s="1">
        <v>12</v>
      </c>
      <c r="F104" s="2">
        <f>DATE(WeatherData[[#This Row],[Year]],WeatherData[[#This Row],[Month]],WeatherData[[#This Row],[Day]])</f>
        <v>43933</v>
      </c>
      <c r="G104" s="2" t="str">
        <f>TEXT(WeatherData[[#This Row],[Date]], "mmmm")</f>
        <v>April</v>
      </c>
      <c r="H104" s="16">
        <v>0</v>
      </c>
      <c r="I104" s="16">
        <v>17.899999999999999</v>
      </c>
      <c r="J104" s="16">
        <v>9.9</v>
      </c>
      <c r="K104" s="6">
        <f t="shared" si="2"/>
        <v>7.9999999999999982</v>
      </c>
      <c r="L104" s="4" t="str">
        <f t="shared" si="3"/>
        <v>Normal</v>
      </c>
    </row>
    <row r="105" spans="1:12" ht="18" customHeight="1" x14ac:dyDescent="0.3">
      <c r="A105" s="1">
        <v>23034</v>
      </c>
      <c r="B105" s="1" t="str">
        <f>VLOOKUP( WeatherData[[#This Row],[Station Number]], 'Station Numbers'!A:B,2,FALSE)</f>
        <v xml:space="preserve">Adelaide Airport </v>
      </c>
      <c r="C105" s="1">
        <v>2020</v>
      </c>
      <c r="D105" s="1">
        <v>4</v>
      </c>
      <c r="E105" s="1">
        <v>13</v>
      </c>
      <c r="F105" s="2">
        <f>DATE(WeatherData[[#This Row],[Year]],WeatherData[[#This Row],[Month]],WeatherData[[#This Row],[Day]])</f>
        <v>43934</v>
      </c>
      <c r="G105" s="2" t="str">
        <f>TEXT(WeatherData[[#This Row],[Date]], "mmmm")</f>
        <v>April</v>
      </c>
      <c r="H105" s="16">
        <v>0</v>
      </c>
      <c r="I105" s="16">
        <v>22.8</v>
      </c>
      <c r="J105" s="16">
        <v>6.6</v>
      </c>
      <c r="K105" s="6">
        <f t="shared" si="2"/>
        <v>16.200000000000003</v>
      </c>
      <c r="L105" s="4" t="str">
        <f t="shared" si="3"/>
        <v>Normal</v>
      </c>
    </row>
    <row r="106" spans="1:12" ht="18" customHeight="1" x14ac:dyDescent="0.3">
      <c r="A106" s="1">
        <v>23034</v>
      </c>
      <c r="B106" s="1" t="str">
        <f>VLOOKUP( WeatherData[[#This Row],[Station Number]], 'Station Numbers'!A:B,2,FALSE)</f>
        <v xml:space="preserve">Adelaide Airport </v>
      </c>
      <c r="C106" s="1">
        <v>2020</v>
      </c>
      <c r="D106" s="1">
        <v>4</v>
      </c>
      <c r="E106" s="1">
        <v>14</v>
      </c>
      <c r="F106" s="2">
        <f>DATE(WeatherData[[#This Row],[Year]],WeatherData[[#This Row],[Month]],WeatherData[[#This Row],[Day]])</f>
        <v>43935</v>
      </c>
      <c r="G106" s="2" t="str">
        <f>TEXT(WeatherData[[#This Row],[Date]], "mmmm")</f>
        <v>April</v>
      </c>
      <c r="H106" s="16">
        <v>0</v>
      </c>
      <c r="I106" s="16">
        <v>27.8</v>
      </c>
      <c r="J106" s="16">
        <v>12.5</v>
      </c>
      <c r="K106" s="6">
        <f t="shared" si="2"/>
        <v>15.3</v>
      </c>
      <c r="L106" s="4" t="str">
        <f t="shared" si="3"/>
        <v>Normal</v>
      </c>
    </row>
    <row r="107" spans="1:12" ht="18" customHeight="1" x14ac:dyDescent="0.3">
      <c r="A107" s="1">
        <v>23034</v>
      </c>
      <c r="B107" s="1" t="str">
        <f>VLOOKUP( WeatherData[[#This Row],[Station Number]], 'Station Numbers'!A:B,2,FALSE)</f>
        <v xml:space="preserve">Adelaide Airport </v>
      </c>
      <c r="C107" s="1">
        <v>2020</v>
      </c>
      <c r="D107" s="1">
        <v>4</v>
      </c>
      <c r="E107" s="1">
        <v>15</v>
      </c>
      <c r="F107" s="2">
        <f>DATE(WeatherData[[#This Row],[Year]],WeatherData[[#This Row],[Month]],WeatherData[[#This Row],[Day]])</f>
        <v>43936</v>
      </c>
      <c r="G107" s="2" t="str">
        <f>TEXT(WeatherData[[#This Row],[Date]], "mmmm")</f>
        <v>April</v>
      </c>
      <c r="H107" s="16">
        <v>0</v>
      </c>
      <c r="I107" s="16">
        <v>28.6</v>
      </c>
      <c r="J107" s="16">
        <v>16.100000000000001</v>
      </c>
      <c r="K107" s="6">
        <f t="shared" si="2"/>
        <v>12.5</v>
      </c>
      <c r="L107" s="4" t="str">
        <f t="shared" si="3"/>
        <v>Normal</v>
      </c>
    </row>
    <row r="108" spans="1:12" ht="18" customHeight="1" x14ac:dyDescent="0.3">
      <c r="A108" s="1">
        <v>23034</v>
      </c>
      <c r="B108" s="1" t="str">
        <f>VLOOKUP( WeatherData[[#This Row],[Station Number]], 'Station Numbers'!A:B,2,FALSE)</f>
        <v xml:space="preserve">Adelaide Airport </v>
      </c>
      <c r="C108" s="1">
        <v>2020</v>
      </c>
      <c r="D108" s="1">
        <v>4</v>
      </c>
      <c r="E108" s="1">
        <v>16</v>
      </c>
      <c r="F108" s="2">
        <f>DATE(WeatherData[[#This Row],[Year]],WeatherData[[#This Row],[Month]],WeatherData[[#This Row],[Day]])</f>
        <v>43937</v>
      </c>
      <c r="G108" s="2" t="str">
        <f>TEXT(WeatherData[[#This Row],[Date]], "mmmm")</f>
        <v>April</v>
      </c>
      <c r="H108" s="16">
        <v>0</v>
      </c>
      <c r="I108" s="16">
        <v>20.6</v>
      </c>
      <c r="J108" s="16">
        <v>16.899999999999999</v>
      </c>
      <c r="K108" s="6">
        <f t="shared" si="2"/>
        <v>3.7000000000000028</v>
      </c>
      <c r="L108" s="4" t="str">
        <f t="shared" si="3"/>
        <v>Normal</v>
      </c>
    </row>
    <row r="109" spans="1:12" ht="18" customHeight="1" x14ac:dyDescent="0.3">
      <c r="A109" s="1">
        <v>23034</v>
      </c>
      <c r="B109" s="1" t="str">
        <f>VLOOKUP( WeatherData[[#This Row],[Station Number]], 'Station Numbers'!A:B,2,FALSE)</f>
        <v xml:space="preserve">Adelaide Airport </v>
      </c>
      <c r="C109" s="1">
        <v>2020</v>
      </c>
      <c r="D109" s="1">
        <v>4</v>
      </c>
      <c r="E109" s="1">
        <v>17</v>
      </c>
      <c r="F109" s="2">
        <f>DATE(WeatherData[[#This Row],[Year]],WeatherData[[#This Row],[Month]],WeatherData[[#This Row],[Day]])</f>
        <v>43938</v>
      </c>
      <c r="G109" s="2" t="str">
        <f>TEXT(WeatherData[[#This Row],[Date]], "mmmm")</f>
        <v>April</v>
      </c>
      <c r="H109" s="16">
        <v>0</v>
      </c>
      <c r="I109" s="16">
        <v>19.600000000000001</v>
      </c>
      <c r="J109" s="16">
        <v>14.6</v>
      </c>
      <c r="K109" s="6">
        <f t="shared" si="2"/>
        <v>5.0000000000000018</v>
      </c>
      <c r="L109" s="4" t="str">
        <f t="shared" si="3"/>
        <v>Normal</v>
      </c>
    </row>
    <row r="110" spans="1:12" ht="18" customHeight="1" x14ac:dyDescent="0.3">
      <c r="A110" s="1">
        <v>23034</v>
      </c>
      <c r="B110" s="1" t="str">
        <f>VLOOKUP( WeatherData[[#This Row],[Station Number]], 'Station Numbers'!A:B,2,FALSE)</f>
        <v xml:space="preserve">Adelaide Airport </v>
      </c>
      <c r="C110" s="1">
        <v>2020</v>
      </c>
      <c r="D110" s="1">
        <v>4</v>
      </c>
      <c r="E110" s="1">
        <v>18</v>
      </c>
      <c r="F110" s="2">
        <f>DATE(WeatherData[[#This Row],[Year]],WeatherData[[#This Row],[Month]],WeatherData[[#This Row],[Day]])</f>
        <v>43939</v>
      </c>
      <c r="G110" s="2" t="str">
        <f>TEXT(WeatherData[[#This Row],[Date]], "mmmm")</f>
        <v>April</v>
      </c>
      <c r="H110" s="16">
        <v>4.5999999999999996</v>
      </c>
      <c r="I110" s="16">
        <v>18.2</v>
      </c>
      <c r="J110" s="16">
        <v>12.5</v>
      </c>
      <c r="K110" s="6">
        <f t="shared" si="2"/>
        <v>5.6999999999999993</v>
      </c>
      <c r="L110" s="4" t="str">
        <f t="shared" si="3"/>
        <v>Normal</v>
      </c>
    </row>
    <row r="111" spans="1:12" ht="18" customHeight="1" x14ac:dyDescent="0.3">
      <c r="A111" s="1">
        <v>23034</v>
      </c>
      <c r="B111" s="1" t="str">
        <f>VLOOKUP( WeatherData[[#This Row],[Station Number]], 'Station Numbers'!A:B,2,FALSE)</f>
        <v xml:space="preserve">Adelaide Airport </v>
      </c>
      <c r="C111" s="1">
        <v>2020</v>
      </c>
      <c r="D111" s="1">
        <v>4</v>
      </c>
      <c r="E111" s="1">
        <v>19</v>
      </c>
      <c r="F111" s="2">
        <f>DATE(WeatherData[[#This Row],[Year]],WeatherData[[#This Row],[Month]],WeatherData[[#This Row],[Day]])</f>
        <v>43940</v>
      </c>
      <c r="G111" s="2" t="str">
        <f>TEXT(WeatherData[[#This Row],[Date]], "mmmm")</f>
        <v>April</v>
      </c>
      <c r="H111" s="16">
        <v>6</v>
      </c>
      <c r="I111" s="16">
        <v>22.4</v>
      </c>
      <c r="J111" s="16">
        <v>9.5</v>
      </c>
      <c r="K111" s="6">
        <f t="shared" si="2"/>
        <v>12.899999999999999</v>
      </c>
      <c r="L111" s="4" t="str">
        <f t="shared" si="3"/>
        <v>Normal</v>
      </c>
    </row>
    <row r="112" spans="1:12" ht="18" customHeight="1" x14ac:dyDescent="0.3">
      <c r="A112" s="1">
        <v>23034</v>
      </c>
      <c r="B112" s="1" t="str">
        <f>VLOOKUP( WeatherData[[#This Row],[Station Number]], 'Station Numbers'!A:B,2,FALSE)</f>
        <v xml:space="preserve">Adelaide Airport </v>
      </c>
      <c r="C112" s="1">
        <v>2020</v>
      </c>
      <c r="D112" s="1">
        <v>4</v>
      </c>
      <c r="E112" s="1">
        <v>20</v>
      </c>
      <c r="F112" s="2">
        <f>DATE(WeatherData[[#This Row],[Year]],WeatherData[[#This Row],[Month]],WeatherData[[#This Row],[Day]])</f>
        <v>43941</v>
      </c>
      <c r="G112" s="2" t="str">
        <f>TEXT(WeatherData[[#This Row],[Date]], "mmmm")</f>
        <v>April</v>
      </c>
      <c r="H112" s="16">
        <v>0</v>
      </c>
      <c r="I112" s="16">
        <v>19.399999999999999</v>
      </c>
      <c r="J112" s="16">
        <v>14.3</v>
      </c>
      <c r="K112" s="6">
        <f t="shared" si="2"/>
        <v>5.0999999999999979</v>
      </c>
      <c r="L112" s="4" t="str">
        <f t="shared" si="3"/>
        <v>Normal</v>
      </c>
    </row>
    <row r="113" spans="1:12" ht="18" customHeight="1" x14ac:dyDescent="0.3">
      <c r="A113" s="1">
        <v>23034</v>
      </c>
      <c r="B113" s="1" t="str">
        <f>VLOOKUP( WeatherData[[#This Row],[Station Number]], 'Station Numbers'!A:B,2,FALSE)</f>
        <v xml:space="preserve">Adelaide Airport </v>
      </c>
      <c r="C113" s="1">
        <v>2020</v>
      </c>
      <c r="D113" s="1">
        <v>4</v>
      </c>
      <c r="E113" s="1">
        <v>21</v>
      </c>
      <c r="F113" s="2">
        <f>DATE(WeatherData[[#This Row],[Year]],WeatherData[[#This Row],[Month]],WeatherData[[#This Row],[Day]])</f>
        <v>43942</v>
      </c>
      <c r="G113" s="2" t="str">
        <f>TEXT(WeatherData[[#This Row],[Date]], "mmmm")</f>
        <v>April</v>
      </c>
      <c r="H113" s="16">
        <v>0</v>
      </c>
      <c r="I113" s="16">
        <v>22.9</v>
      </c>
      <c r="J113" s="16">
        <v>12</v>
      </c>
      <c r="K113" s="6">
        <f t="shared" si="2"/>
        <v>10.899999999999999</v>
      </c>
      <c r="L113" s="4" t="str">
        <f t="shared" si="3"/>
        <v>Normal</v>
      </c>
    </row>
    <row r="114" spans="1:12" ht="18" customHeight="1" x14ac:dyDescent="0.3">
      <c r="A114" s="1">
        <v>23034</v>
      </c>
      <c r="B114" s="1" t="str">
        <f>VLOOKUP( WeatherData[[#This Row],[Station Number]], 'Station Numbers'!A:B,2,FALSE)</f>
        <v xml:space="preserve">Adelaide Airport </v>
      </c>
      <c r="C114" s="1">
        <v>2020</v>
      </c>
      <c r="D114" s="1">
        <v>4</v>
      </c>
      <c r="E114" s="1">
        <v>22</v>
      </c>
      <c r="F114" s="2">
        <f>DATE(WeatherData[[#This Row],[Year]],WeatherData[[#This Row],[Month]],WeatherData[[#This Row],[Day]])</f>
        <v>43943</v>
      </c>
      <c r="G114" s="2" t="str">
        <f>TEXT(WeatherData[[#This Row],[Date]], "mmmm")</f>
        <v>April</v>
      </c>
      <c r="H114" s="16">
        <v>0</v>
      </c>
      <c r="I114" s="16">
        <v>22.8</v>
      </c>
      <c r="J114" s="16">
        <v>12</v>
      </c>
      <c r="K114" s="6">
        <f t="shared" si="2"/>
        <v>10.8</v>
      </c>
      <c r="L114" s="4" t="str">
        <f t="shared" si="3"/>
        <v>Normal</v>
      </c>
    </row>
    <row r="115" spans="1:12" ht="18" customHeight="1" x14ac:dyDescent="0.3">
      <c r="A115" s="1">
        <v>23034</v>
      </c>
      <c r="B115" s="1" t="str">
        <f>VLOOKUP( WeatherData[[#This Row],[Station Number]], 'Station Numbers'!A:B,2,FALSE)</f>
        <v xml:space="preserve">Adelaide Airport </v>
      </c>
      <c r="C115" s="1">
        <v>2020</v>
      </c>
      <c r="D115" s="1">
        <v>4</v>
      </c>
      <c r="E115" s="1">
        <v>23</v>
      </c>
      <c r="F115" s="2">
        <f>DATE(WeatherData[[#This Row],[Year]],WeatherData[[#This Row],[Month]],WeatherData[[#This Row],[Day]])</f>
        <v>43944</v>
      </c>
      <c r="G115" s="2" t="str">
        <f>TEXT(WeatherData[[#This Row],[Date]], "mmmm")</f>
        <v>April</v>
      </c>
      <c r="H115" s="16">
        <v>0</v>
      </c>
      <c r="I115" s="16">
        <v>20.100000000000001</v>
      </c>
      <c r="J115" s="16">
        <v>12.6</v>
      </c>
      <c r="K115" s="6">
        <f t="shared" si="2"/>
        <v>7.5000000000000018</v>
      </c>
      <c r="L115" s="4" t="str">
        <f t="shared" si="3"/>
        <v>Normal</v>
      </c>
    </row>
    <row r="116" spans="1:12" ht="18" customHeight="1" x14ac:dyDescent="0.3">
      <c r="A116" s="1">
        <v>23034</v>
      </c>
      <c r="B116" s="1" t="str">
        <f>VLOOKUP( WeatherData[[#This Row],[Station Number]], 'Station Numbers'!A:B,2,FALSE)</f>
        <v xml:space="preserve">Adelaide Airport </v>
      </c>
      <c r="C116" s="1">
        <v>2020</v>
      </c>
      <c r="D116" s="1">
        <v>4</v>
      </c>
      <c r="E116" s="1">
        <v>24</v>
      </c>
      <c r="F116" s="2">
        <f>DATE(WeatherData[[#This Row],[Year]],WeatherData[[#This Row],[Month]],WeatherData[[#This Row],[Day]])</f>
        <v>43945</v>
      </c>
      <c r="G116" s="2" t="str">
        <f>TEXT(WeatherData[[#This Row],[Date]], "mmmm")</f>
        <v>April</v>
      </c>
      <c r="H116" s="16">
        <v>10.199999999999999</v>
      </c>
      <c r="I116" s="16">
        <v>21.6</v>
      </c>
      <c r="J116" s="16">
        <v>14</v>
      </c>
      <c r="K116" s="6">
        <f t="shared" si="2"/>
        <v>7.6000000000000014</v>
      </c>
      <c r="L116" s="4" t="str">
        <f t="shared" si="3"/>
        <v>Normal</v>
      </c>
    </row>
    <row r="117" spans="1:12" ht="18" customHeight="1" x14ac:dyDescent="0.3">
      <c r="A117" s="1">
        <v>23034</v>
      </c>
      <c r="B117" s="1" t="str">
        <f>VLOOKUP( WeatherData[[#This Row],[Station Number]], 'Station Numbers'!A:B,2,FALSE)</f>
        <v xml:space="preserve">Adelaide Airport </v>
      </c>
      <c r="C117" s="1">
        <v>2020</v>
      </c>
      <c r="D117" s="1">
        <v>4</v>
      </c>
      <c r="E117" s="1">
        <v>25</v>
      </c>
      <c r="F117" s="2">
        <f>DATE(WeatherData[[#This Row],[Year]],WeatherData[[#This Row],[Month]],WeatherData[[#This Row],[Day]])</f>
        <v>43946</v>
      </c>
      <c r="G117" s="2" t="str">
        <f>TEXT(WeatherData[[#This Row],[Date]], "mmmm")</f>
        <v>April</v>
      </c>
      <c r="H117" s="16">
        <v>0</v>
      </c>
      <c r="I117" s="16">
        <v>23.6</v>
      </c>
      <c r="J117" s="16">
        <v>12.6</v>
      </c>
      <c r="K117" s="6">
        <f t="shared" si="2"/>
        <v>11.000000000000002</v>
      </c>
      <c r="L117" s="4" t="str">
        <f t="shared" si="3"/>
        <v>Normal</v>
      </c>
    </row>
    <row r="118" spans="1:12" ht="18" customHeight="1" x14ac:dyDescent="0.3">
      <c r="A118" s="1">
        <v>23034</v>
      </c>
      <c r="B118" s="1" t="str">
        <f>VLOOKUP( WeatherData[[#This Row],[Station Number]], 'Station Numbers'!A:B,2,FALSE)</f>
        <v xml:space="preserve">Adelaide Airport </v>
      </c>
      <c r="C118" s="1">
        <v>2020</v>
      </c>
      <c r="D118" s="1">
        <v>4</v>
      </c>
      <c r="E118" s="1">
        <v>26</v>
      </c>
      <c r="F118" s="2">
        <f>DATE(WeatherData[[#This Row],[Year]],WeatherData[[#This Row],[Month]],WeatherData[[#This Row],[Day]])</f>
        <v>43947</v>
      </c>
      <c r="G118" s="2" t="str">
        <f>TEXT(WeatherData[[#This Row],[Date]], "mmmm")</f>
        <v>April</v>
      </c>
      <c r="H118" s="16">
        <v>26.6</v>
      </c>
      <c r="I118" s="16">
        <v>19.100000000000001</v>
      </c>
      <c r="J118" s="16">
        <v>16.2</v>
      </c>
      <c r="K118" s="6">
        <f t="shared" si="2"/>
        <v>2.9000000000000021</v>
      </c>
      <c r="L118" s="4" t="str">
        <f t="shared" si="3"/>
        <v>Heavy Rain</v>
      </c>
    </row>
    <row r="119" spans="1:12" ht="18" customHeight="1" x14ac:dyDescent="0.3">
      <c r="A119" s="1">
        <v>23034</v>
      </c>
      <c r="B119" s="1" t="str">
        <f>VLOOKUP( WeatherData[[#This Row],[Station Number]], 'Station Numbers'!A:B,2,FALSE)</f>
        <v xml:space="preserve">Adelaide Airport </v>
      </c>
      <c r="C119" s="1">
        <v>2020</v>
      </c>
      <c r="D119" s="1">
        <v>4</v>
      </c>
      <c r="E119" s="1">
        <v>27</v>
      </c>
      <c r="F119" s="2">
        <f>DATE(WeatherData[[#This Row],[Year]],WeatherData[[#This Row],[Month]],WeatherData[[#This Row],[Day]])</f>
        <v>43948</v>
      </c>
      <c r="G119" s="2" t="str">
        <f>TEXT(WeatherData[[#This Row],[Date]], "mmmm")</f>
        <v>April</v>
      </c>
      <c r="H119" s="16">
        <v>0</v>
      </c>
      <c r="I119" s="16">
        <v>19</v>
      </c>
      <c r="J119" s="16">
        <v>11.1</v>
      </c>
      <c r="K119" s="6">
        <f t="shared" si="2"/>
        <v>7.9</v>
      </c>
      <c r="L119" s="4" t="str">
        <f t="shared" si="3"/>
        <v>Normal</v>
      </c>
    </row>
    <row r="120" spans="1:12" ht="18" customHeight="1" x14ac:dyDescent="0.3">
      <c r="A120" s="1">
        <v>23034</v>
      </c>
      <c r="B120" s="1" t="str">
        <f>VLOOKUP( WeatherData[[#This Row],[Station Number]], 'Station Numbers'!A:B,2,FALSE)</f>
        <v xml:space="preserve">Adelaide Airport </v>
      </c>
      <c r="C120" s="1">
        <v>2020</v>
      </c>
      <c r="D120" s="1">
        <v>4</v>
      </c>
      <c r="E120" s="1">
        <v>28</v>
      </c>
      <c r="F120" s="2">
        <f>DATE(WeatherData[[#This Row],[Year]],WeatherData[[#This Row],[Month]],WeatherData[[#This Row],[Day]])</f>
        <v>43949</v>
      </c>
      <c r="G120" s="2" t="str">
        <f>TEXT(WeatherData[[#This Row],[Date]], "mmmm")</f>
        <v>April</v>
      </c>
      <c r="H120" s="16">
        <v>0</v>
      </c>
      <c r="I120" s="16">
        <v>19.8</v>
      </c>
      <c r="J120" s="16">
        <v>12.1</v>
      </c>
      <c r="K120" s="6">
        <f t="shared" si="2"/>
        <v>7.7000000000000011</v>
      </c>
      <c r="L120" s="4" t="str">
        <f t="shared" si="3"/>
        <v>Normal</v>
      </c>
    </row>
    <row r="121" spans="1:12" ht="18" customHeight="1" x14ac:dyDescent="0.3">
      <c r="A121" s="1">
        <v>23034</v>
      </c>
      <c r="B121" s="1" t="str">
        <f>VLOOKUP( WeatherData[[#This Row],[Station Number]], 'Station Numbers'!A:B,2,FALSE)</f>
        <v xml:space="preserve">Adelaide Airport </v>
      </c>
      <c r="C121" s="1">
        <v>2020</v>
      </c>
      <c r="D121" s="1">
        <v>4</v>
      </c>
      <c r="E121" s="1">
        <v>29</v>
      </c>
      <c r="F121" s="2">
        <f>DATE(WeatherData[[#This Row],[Year]],WeatherData[[#This Row],[Month]],WeatherData[[#This Row],[Day]])</f>
        <v>43950</v>
      </c>
      <c r="G121" s="2" t="str">
        <f>TEXT(WeatherData[[#This Row],[Date]], "mmmm")</f>
        <v>April</v>
      </c>
      <c r="H121" s="16">
        <v>7.8</v>
      </c>
      <c r="I121" s="16">
        <v>16.7</v>
      </c>
      <c r="J121" s="16">
        <v>12.2</v>
      </c>
      <c r="K121" s="6">
        <f t="shared" si="2"/>
        <v>4.5</v>
      </c>
      <c r="L121" s="4" t="str">
        <f t="shared" si="3"/>
        <v>Normal</v>
      </c>
    </row>
    <row r="122" spans="1:12" ht="18" customHeight="1" x14ac:dyDescent="0.3">
      <c r="A122" s="1">
        <v>23034</v>
      </c>
      <c r="B122" s="1" t="str">
        <f>VLOOKUP( WeatherData[[#This Row],[Station Number]], 'Station Numbers'!A:B,2,FALSE)</f>
        <v xml:space="preserve">Adelaide Airport </v>
      </c>
      <c r="C122" s="1">
        <v>2020</v>
      </c>
      <c r="D122" s="1">
        <v>4</v>
      </c>
      <c r="E122" s="1">
        <v>30</v>
      </c>
      <c r="F122" s="2">
        <f>DATE(WeatherData[[#This Row],[Year]],WeatherData[[#This Row],[Month]],WeatherData[[#This Row],[Day]])</f>
        <v>43951</v>
      </c>
      <c r="G122" s="2" t="str">
        <f>TEXT(WeatherData[[#This Row],[Date]], "mmmm")</f>
        <v>April</v>
      </c>
      <c r="H122" s="16">
        <v>16</v>
      </c>
      <c r="I122" s="16">
        <v>15.7</v>
      </c>
      <c r="J122" s="16">
        <v>8.9</v>
      </c>
      <c r="K122" s="6">
        <f t="shared" si="2"/>
        <v>6.7999999999999989</v>
      </c>
      <c r="L122" s="4" t="str">
        <f t="shared" si="3"/>
        <v>Normal</v>
      </c>
    </row>
    <row r="123" spans="1:12" ht="18" customHeight="1" x14ac:dyDescent="0.3">
      <c r="A123" s="1">
        <v>23034</v>
      </c>
      <c r="B123" s="1" t="str">
        <f>VLOOKUP( WeatherData[[#This Row],[Station Number]], 'Station Numbers'!A:B,2,FALSE)</f>
        <v xml:space="preserve">Adelaide Airport </v>
      </c>
      <c r="C123" s="1">
        <v>2020</v>
      </c>
      <c r="D123" s="1">
        <v>5</v>
      </c>
      <c r="E123" s="1">
        <v>1</v>
      </c>
      <c r="F123" s="2">
        <f>DATE(WeatherData[[#This Row],[Year]],WeatherData[[#This Row],[Month]],WeatherData[[#This Row],[Day]])</f>
        <v>43952</v>
      </c>
      <c r="G123" s="2" t="str">
        <f>TEXT(WeatherData[[#This Row],[Date]], "mmmm")</f>
        <v>May</v>
      </c>
      <c r="H123" s="16">
        <v>2</v>
      </c>
      <c r="I123" s="16">
        <v>17.600000000000001</v>
      </c>
      <c r="J123" s="16">
        <v>11</v>
      </c>
      <c r="K123" s="6">
        <f t="shared" si="2"/>
        <v>6.6000000000000014</v>
      </c>
      <c r="L123" s="4" t="str">
        <f t="shared" si="3"/>
        <v>Normal</v>
      </c>
    </row>
    <row r="124" spans="1:12" ht="18" customHeight="1" x14ac:dyDescent="0.3">
      <c r="A124" s="1">
        <v>23034</v>
      </c>
      <c r="B124" s="1" t="str">
        <f>VLOOKUP( WeatherData[[#This Row],[Station Number]], 'Station Numbers'!A:B,2,FALSE)</f>
        <v xml:space="preserve">Adelaide Airport </v>
      </c>
      <c r="C124" s="1">
        <v>2020</v>
      </c>
      <c r="D124" s="1">
        <v>5</v>
      </c>
      <c r="E124" s="1">
        <v>2</v>
      </c>
      <c r="F124" s="2">
        <f>DATE(WeatherData[[#This Row],[Year]],WeatherData[[#This Row],[Month]],WeatherData[[#This Row],[Day]])</f>
        <v>43953</v>
      </c>
      <c r="G124" s="2" t="str">
        <f>TEXT(WeatherData[[#This Row],[Date]], "mmmm")</f>
        <v>May</v>
      </c>
      <c r="H124" s="16">
        <v>3.4</v>
      </c>
      <c r="I124" s="16">
        <v>17.5</v>
      </c>
      <c r="J124" s="16">
        <v>13.4</v>
      </c>
      <c r="K124" s="6">
        <f t="shared" si="2"/>
        <v>4.0999999999999996</v>
      </c>
      <c r="L124" s="4" t="str">
        <f t="shared" si="3"/>
        <v>Normal</v>
      </c>
    </row>
    <row r="125" spans="1:12" ht="18" customHeight="1" x14ac:dyDescent="0.3">
      <c r="A125" s="1">
        <v>23034</v>
      </c>
      <c r="B125" s="1" t="str">
        <f>VLOOKUP( WeatherData[[#This Row],[Station Number]], 'Station Numbers'!A:B,2,FALSE)</f>
        <v xml:space="preserve">Adelaide Airport </v>
      </c>
      <c r="C125" s="1">
        <v>2020</v>
      </c>
      <c r="D125" s="1">
        <v>5</v>
      </c>
      <c r="E125" s="1">
        <v>3</v>
      </c>
      <c r="F125" s="2">
        <f>DATE(WeatherData[[#This Row],[Year]],WeatherData[[#This Row],[Month]],WeatherData[[#This Row],[Day]])</f>
        <v>43954</v>
      </c>
      <c r="G125" s="2" t="str">
        <f>TEXT(WeatherData[[#This Row],[Date]], "mmmm")</f>
        <v>May</v>
      </c>
      <c r="H125" s="16">
        <v>0.6</v>
      </c>
      <c r="I125" s="16">
        <v>15.4</v>
      </c>
      <c r="J125" s="16">
        <v>9.6999999999999993</v>
      </c>
      <c r="K125" s="6">
        <f t="shared" si="2"/>
        <v>5.7000000000000011</v>
      </c>
      <c r="L125" s="4" t="str">
        <f t="shared" si="3"/>
        <v>Normal</v>
      </c>
    </row>
    <row r="126" spans="1:12" ht="18" customHeight="1" x14ac:dyDescent="0.3">
      <c r="A126" s="1">
        <v>23034</v>
      </c>
      <c r="B126" s="1" t="str">
        <f>VLOOKUP( WeatherData[[#This Row],[Station Number]], 'Station Numbers'!A:B,2,FALSE)</f>
        <v xml:space="preserve">Adelaide Airport </v>
      </c>
      <c r="C126" s="1">
        <v>2020</v>
      </c>
      <c r="D126" s="1">
        <v>5</v>
      </c>
      <c r="E126" s="1">
        <v>4</v>
      </c>
      <c r="F126" s="2">
        <f>DATE(WeatherData[[#This Row],[Year]],WeatherData[[#This Row],[Month]],WeatherData[[#This Row],[Day]])</f>
        <v>43955</v>
      </c>
      <c r="G126" s="2" t="str">
        <f>TEXT(WeatherData[[#This Row],[Date]], "mmmm")</f>
        <v>May</v>
      </c>
      <c r="H126" s="16">
        <v>0</v>
      </c>
      <c r="I126" s="16">
        <v>17.100000000000001</v>
      </c>
      <c r="J126" s="16">
        <v>10.4</v>
      </c>
      <c r="K126" s="6">
        <f t="shared" si="2"/>
        <v>6.7000000000000011</v>
      </c>
      <c r="L126" s="4" t="str">
        <f t="shared" si="3"/>
        <v>Normal</v>
      </c>
    </row>
    <row r="127" spans="1:12" ht="18" customHeight="1" x14ac:dyDescent="0.3">
      <c r="A127" s="1">
        <v>23034</v>
      </c>
      <c r="B127" s="1" t="str">
        <f>VLOOKUP( WeatherData[[#This Row],[Station Number]], 'Station Numbers'!A:B,2,FALSE)</f>
        <v xml:space="preserve">Adelaide Airport </v>
      </c>
      <c r="C127" s="1">
        <v>2020</v>
      </c>
      <c r="D127" s="1">
        <v>5</v>
      </c>
      <c r="E127" s="1">
        <v>5</v>
      </c>
      <c r="F127" s="2">
        <f>DATE(WeatherData[[#This Row],[Year]],WeatherData[[#This Row],[Month]],WeatherData[[#This Row],[Day]])</f>
        <v>43956</v>
      </c>
      <c r="G127" s="2" t="str">
        <f>TEXT(WeatherData[[#This Row],[Date]], "mmmm")</f>
        <v>May</v>
      </c>
      <c r="H127" s="16">
        <v>0</v>
      </c>
      <c r="I127" s="16">
        <v>19.2</v>
      </c>
      <c r="J127" s="16">
        <v>8.1</v>
      </c>
      <c r="K127" s="6">
        <f t="shared" si="2"/>
        <v>11.1</v>
      </c>
      <c r="L127" s="4" t="str">
        <f t="shared" si="3"/>
        <v>Normal</v>
      </c>
    </row>
    <row r="128" spans="1:12" ht="18" customHeight="1" x14ac:dyDescent="0.3">
      <c r="A128" s="1">
        <v>23034</v>
      </c>
      <c r="B128" s="1" t="str">
        <f>VLOOKUP( WeatherData[[#This Row],[Station Number]], 'Station Numbers'!A:B,2,FALSE)</f>
        <v xml:space="preserve">Adelaide Airport </v>
      </c>
      <c r="C128" s="1">
        <v>2020</v>
      </c>
      <c r="D128" s="1">
        <v>5</v>
      </c>
      <c r="E128" s="1">
        <v>6</v>
      </c>
      <c r="F128" s="2">
        <f>DATE(WeatherData[[#This Row],[Year]],WeatherData[[#This Row],[Month]],WeatherData[[#This Row],[Day]])</f>
        <v>43957</v>
      </c>
      <c r="G128" s="2" t="str">
        <f>TEXT(WeatherData[[#This Row],[Date]], "mmmm")</f>
        <v>May</v>
      </c>
      <c r="H128" s="16">
        <v>0</v>
      </c>
      <c r="I128" s="16">
        <v>20.9</v>
      </c>
      <c r="J128" s="16">
        <v>9.1999999999999993</v>
      </c>
      <c r="K128" s="6">
        <f t="shared" si="2"/>
        <v>11.7</v>
      </c>
      <c r="L128" s="4" t="str">
        <f t="shared" si="3"/>
        <v>Normal</v>
      </c>
    </row>
    <row r="129" spans="1:12" ht="18" customHeight="1" x14ac:dyDescent="0.3">
      <c r="A129" s="1">
        <v>23034</v>
      </c>
      <c r="B129" s="1" t="str">
        <f>VLOOKUP( WeatherData[[#This Row],[Station Number]], 'Station Numbers'!A:B,2,FALSE)</f>
        <v xml:space="preserve">Adelaide Airport </v>
      </c>
      <c r="C129" s="1">
        <v>2020</v>
      </c>
      <c r="D129" s="1">
        <v>5</v>
      </c>
      <c r="E129" s="1">
        <v>7</v>
      </c>
      <c r="F129" s="2">
        <f>DATE(WeatherData[[#This Row],[Year]],WeatherData[[#This Row],[Month]],WeatherData[[#This Row],[Day]])</f>
        <v>43958</v>
      </c>
      <c r="G129" s="2" t="str">
        <f>TEXT(WeatherData[[#This Row],[Date]], "mmmm")</f>
        <v>May</v>
      </c>
      <c r="H129" s="16">
        <v>0</v>
      </c>
      <c r="I129" s="16">
        <v>20.3</v>
      </c>
      <c r="J129" s="16">
        <v>15</v>
      </c>
      <c r="K129" s="6">
        <f t="shared" si="2"/>
        <v>5.3000000000000007</v>
      </c>
      <c r="L129" s="4" t="str">
        <f t="shared" si="3"/>
        <v>Normal</v>
      </c>
    </row>
    <row r="130" spans="1:12" ht="18" customHeight="1" x14ac:dyDescent="0.3">
      <c r="A130" s="1">
        <v>23034</v>
      </c>
      <c r="B130" s="1" t="str">
        <f>VLOOKUP( WeatherData[[#This Row],[Station Number]], 'Station Numbers'!A:B,2,FALSE)</f>
        <v xml:space="preserve">Adelaide Airport </v>
      </c>
      <c r="C130" s="1">
        <v>2020</v>
      </c>
      <c r="D130" s="1">
        <v>5</v>
      </c>
      <c r="E130" s="1">
        <v>8</v>
      </c>
      <c r="F130" s="2">
        <f>DATE(WeatherData[[#This Row],[Year]],WeatherData[[#This Row],[Month]],WeatherData[[#This Row],[Day]])</f>
        <v>43959</v>
      </c>
      <c r="G130" s="2" t="str">
        <f>TEXT(WeatherData[[#This Row],[Date]], "mmmm")</f>
        <v>May</v>
      </c>
      <c r="H130" s="16">
        <v>1.8</v>
      </c>
      <c r="I130" s="16">
        <v>18.600000000000001</v>
      </c>
      <c r="J130" s="16">
        <v>13.1</v>
      </c>
      <c r="K130" s="6">
        <f t="shared" ref="K130:K193" si="4">I130-J130</f>
        <v>5.5000000000000018</v>
      </c>
      <c r="L130" s="4" t="str">
        <f t="shared" ref="L130:L193" si="5">IF(AND(I130&gt;35, H130&gt;20), "Heatwave + Rain",
   IF(I130&gt;35, "Heatwave",
   IF(H130&gt;20, "Heavy Rain",
   IF(I130&lt;10, "Cold",
   "Normal"))))</f>
        <v>Normal</v>
      </c>
    </row>
    <row r="131" spans="1:12" ht="18" customHeight="1" x14ac:dyDescent="0.3">
      <c r="A131" s="1">
        <v>23034</v>
      </c>
      <c r="B131" s="1" t="str">
        <f>VLOOKUP( WeatherData[[#This Row],[Station Number]], 'Station Numbers'!A:B,2,FALSE)</f>
        <v xml:space="preserve">Adelaide Airport </v>
      </c>
      <c r="C131" s="1">
        <v>2020</v>
      </c>
      <c r="D131" s="1">
        <v>5</v>
      </c>
      <c r="E131" s="1">
        <v>9</v>
      </c>
      <c r="F131" s="2">
        <f>DATE(WeatherData[[#This Row],[Year]],WeatherData[[#This Row],[Month]],WeatherData[[#This Row],[Day]])</f>
        <v>43960</v>
      </c>
      <c r="G131" s="2" t="str">
        <f>TEXT(WeatherData[[#This Row],[Date]], "mmmm")</f>
        <v>May</v>
      </c>
      <c r="H131" s="16">
        <v>10.8</v>
      </c>
      <c r="I131" s="16">
        <v>15.6</v>
      </c>
      <c r="J131" s="16">
        <v>10.7</v>
      </c>
      <c r="K131" s="6">
        <f t="shared" si="4"/>
        <v>4.9000000000000004</v>
      </c>
      <c r="L131" s="4" t="str">
        <f t="shared" si="5"/>
        <v>Normal</v>
      </c>
    </row>
    <row r="132" spans="1:12" ht="18" customHeight="1" x14ac:dyDescent="0.3">
      <c r="A132" s="1">
        <v>23034</v>
      </c>
      <c r="B132" s="1" t="str">
        <f>VLOOKUP( WeatherData[[#This Row],[Station Number]], 'Station Numbers'!A:B,2,FALSE)</f>
        <v xml:space="preserve">Adelaide Airport </v>
      </c>
      <c r="C132" s="1">
        <v>2020</v>
      </c>
      <c r="D132" s="1">
        <v>5</v>
      </c>
      <c r="E132" s="1">
        <v>10</v>
      </c>
      <c r="F132" s="2">
        <f>DATE(WeatherData[[#This Row],[Year]],WeatherData[[#This Row],[Month]],WeatherData[[#This Row],[Day]])</f>
        <v>43961</v>
      </c>
      <c r="G132" s="2" t="str">
        <f>TEXT(WeatherData[[#This Row],[Date]], "mmmm")</f>
        <v>May</v>
      </c>
      <c r="H132" s="16">
        <v>0.4</v>
      </c>
      <c r="I132" s="16">
        <v>16.3</v>
      </c>
      <c r="J132" s="16">
        <v>8</v>
      </c>
      <c r="K132" s="6">
        <f t="shared" si="4"/>
        <v>8.3000000000000007</v>
      </c>
      <c r="L132" s="4" t="str">
        <f t="shared" si="5"/>
        <v>Normal</v>
      </c>
    </row>
    <row r="133" spans="1:12" ht="18" customHeight="1" x14ac:dyDescent="0.3">
      <c r="A133" s="1">
        <v>23034</v>
      </c>
      <c r="B133" s="1" t="str">
        <f>VLOOKUP( WeatherData[[#This Row],[Station Number]], 'Station Numbers'!A:B,2,FALSE)</f>
        <v xml:space="preserve">Adelaide Airport </v>
      </c>
      <c r="C133" s="1">
        <v>2020</v>
      </c>
      <c r="D133" s="1">
        <v>5</v>
      </c>
      <c r="E133" s="1">
        <v>11</v>
      </c>
      <c r="F133" s="2">
        <f>DATE(WeatherData[[#This Row],[Year]],WeatherData[[#This Row],[Month]],WeatherData[[#This Row],[Day]])</f>
        <v>43962</v>
      </c>
      <c r="G133" s="2" t="str">
        <f>TEXT(WeatherData[[#This Row],[Date]], "mmmm")</f>
        <v>May</v>
      </c>
      <c r="H133" s="16">
        <v>1.6</v>
      </c>
      <c r="I133" s="16">
        <v>17.399999999999999</v>
      </c>
      <c r="J133" s="16">
        <v>7.1</v>
      </c>
      <c r="K133" s="6">
        <f t="shared" si="4"/>
        <v>10.299999999999999</v>
      </c>
      <c r="L133" s="4" t="str">
        <f t="shared" si="5"/>
        <v>Normal</v>
      </c>
    </row>
    <row r="134" spans="1:12" ht="18" customHeight="1" x14ac:dyDescent="0.3">
      <c r="A134" s="1">
        <v>23034</v>
      </c>
      <c r="B134" s="1" t="str">
        <f>VLOOKUP( WeatherData[[#This Row],[Station Number]], 'Station Numbers'!A:B,2,FALSE)</f>
        <v xml:space="preserve">Adelaide Airport </v>
      </c>
      <c r="C134" s="1">
        <v>2020</v>
      </c>
      <c r="D134" s="1">
        <v>5</v>
      </c>
      <c r="E134" s="1">
        <v>12</v>
      </c>
      <c r="F134" s="2">
        <f>DATE(WeatherData[[#This Row],[Year]],WeatherData[[#This Row],[Month]],WeatherData[[#This Row],[Day]])</f>
        <v>43963</v>
      </c>
      <c r="G134" s="2" t="str">
        <f>TEXT(WeatherData[[#This Row],[Date]], "mmmm")</f>
        <v>May</v>
      </c>
      <c r="H134" s="16">
        <v>0</v>
      </c>
      <c r="I134" s="16">
        <v>19</v>
      </c>
      <c r="J134" s="16">
        <v>9</v>
      </c>
      <c r="K134" s="6">
        <f t="shared" si="4"/>
        <v>10</v>
      </c>
      <c r="L134" s="4" t="str">
        <f t="shared" si="5"/>
        <v>Normal</v>
      </c>
    </row>
    <row r="135" spans="1:12" ht="18" customHeight="1" x14ac:dyDescent="0.3">
      <c r="A135" s="1">
        <v>23034</v>
      </c>
      <c r="B135" s="1" t="str">
        <f>VLOOKUP( WeatherData[[#This Row],[Station Number]], 'Station Numbers'!A:B,2,FALSE)</f>
        <v xml:space="preserve">Adelaide Airport </v>
      </c>
      <c r="C135" s="1">
        <v>2020</v>
      </c>
      <c r="D135" s="1">
        <v>5</v>
      </c>
      <c r="E135" s="1">
        <v>13</v>
      </c>
      <c r="F135" s="2">
        <f>DATE(WeatherData[[#This Row],[Year]],WeatherData[[#This Row],[Month]],WeatherData[[#This Row],[Day]])</f>
        <v>43964</v>
      </c>
      <c r="G135" s="2" t="str">
        <f>TEXT(WeatherData[[#This Row],[Date]], "mmmm")</f>
        <v>May</v>
      </c>
      <c r="H135" s="16">
        <v>1</v>
      </c>
      <c r="I135" s="16">
        <v>16.100000000000001</v>
      </c>
      <c r="J135" s="16">
        <v>6.3</v>
      </c>
      <c r="K135" s="6">
        <f t="shared" si="4"/>
        <v>9.8000000000000007</v>
      </c>
      <c r="L135" s="4" t="str">
        <f t="shared" si="5"/>
        <v>Normal</v>
      </c>
    </row>
    <row r="136" spans="1:12" ht="18" customHeight="1" x14ac:dyDescent="0.3">
      <c r="A136" s="1">
        <v>23034</v>
      </c>
      <c r="B136" s="1" t="str">
        <f>VLOOKUP( WeatherData[[#This Row],[Station Number]], 'Station Numbers'!A:B,2,FALSE)</f>
        <v xml:space="preserve">Adelaide Airport </v>
      </c>
      <c r="C136" s="1">
        <v>2020</v>
      </c>
      <c r="D136" s="1">
        <v>5</v>
      </c>
      <c r="E136" s="1">
        <v>14</v>
      </c>
      <c r="F136" s="2">
        <f>DATE(WeatherData[[#This Row],[Year]],WeatherData[[#This Row],[Month]],WeatherData[[#This Row],[Day]])</f>
        <v>43965</v>
      </c>
      <c r="G136" s="2" t="str">
        <f>TEXT(WeatherData[[#This Row],[Date]], "mmmm")</f>
        <v>May</v>
      </c>
      <c r="H136" s="16">
        <v>0</v>
      </c>
      <c r="I136" s="16">
        <v>14.8</v>
      </c>
      <c r="J136" s="16">
        <v>9.5</v>
      </c>
      <c r="K136" s="6">
        <f t="shared" si="4"/>
        <v>5.3000000000000007</v>
      </c>
      <c r="L136" s="4" t="str">
        <f t="shared" si="5"/>
        <v>Normal</v>
      </c>
    </row>
    <row r="137" spans="1:12" ht="18" customHeight="1" x14ac:dyDescent="0.3">
      <c r="A137" s="1">
        <v>23034</v>
      </c>
      <c r="B137" s="1" t="str">
        <f>VLOOKUP( WeatherData[[#This Row],[Station Number]], 'Station Numbers'!A:B,2,FALSE)</f>
        <v xml:space="preserve">Adelaide Airport </v>
      </c>
      <c r="C137" s="1">
        <v>2020</v>
      </c>
      <c r="D137" s="1">
        <v>5</v>
      </c>
      <c r="E137" s="1">
        <v>15</v>
      </c>
      <c r="F137" s="2">
        <f>DATE(WeatherData[[#This Row],[Year]],WeatherData[[#This Row],[Month]],WeatherData[[#This Row],[Day]])</f>
        <v>43966</v>
      </c>
      <c r="G137" s="2" t="str">
        <f>TEXT(WeatherData[[#This Row],[Date]], "mmmm")</f>
        <v>May</v>
      </c>
      <c r="H137" s="16">
        <v>0</v>
      </c>
      <c r="I137" s="16">
        <v>16.3</v>
      </c>
      <c r="J137" s="16">
        <v>5.2</v>
      </c>
      <c r="K137" s="6">
        <f t="shared" si="4"/>
        <v>11.100000000000001</v>
      </c>
      <c r="L137" s="4" t="str">
        <f t="shared" si="5"/>
        <v>Normal</v>
      </c>
    </row>
    <row r="138" spans="1:12" ht="18" customHeight="1" x14ac:dyDescent="0.3">
      <c r="A138" s="1">
        <v>23034</v>
      </c>
      <c r="B138" s="1" t="str">
        <f>VLOOKUP( WeatherData[[#This Row],[Station Number]], 'Station Numbers'!A:B,2,FALSE)</f>
        <v xml:space="preserve">Adelaide Airport </v>
      </c>
      <c r="C138" s="1">
        <v>2020</v>
      </c>
      <c r="D138" s="1">
        <v>5</v>
      </c>
      <c r="E138" s="1">
        <v>16</v>
      </c>
      <c r="F138" s="2">
        <f>DATE(WeatherData[[#This Row],[Year]],WeatherData[[#This Row],[Month]],WeatherData[[#This Row],[Day]])</f>
        <v>43967</v>
      </c>
      <c r="G138" s="2" t="str">
        <f>TEXT(WeatherData[[#This Row],[Date]], "mmmm")</f>
        <v>May</v>
      </c>
      <c r="H138" s="16">
        <v>0</v>
      </c>
      <c r="I138" s="16">
        <v>17.8</v>
      </c>
      <c r="J138" s="16">
        <v>3.2</v>
      </c>
      <c r="K138" s="6">
        <f t="shared" si="4"/>
        <v>14.600000000000001</v>
      </c>
      <c r="L138" s="4" t="str">
        <f t="shared" si="5"/>
        <v>Normal</v>
      </c>
    </row>
    <row r="139" spans="1:12" ht="18" customHeight="1" x14ac:dyDescent="0.3">
      <c r="A139" s="1">
        <v>23034</v>
      </c>
      <c r="B139" s="1" t="str">
        <f>VLOOKUP( WeatherData[[#This Row],[Station Number]], 'Station Numbers'!A:B,2,FALSE)</f>
        <v xml:space="preserve">Adelaide Airport </v>
      </c>
      <c r="C139" s="1">
        <v>2020</v>
      </c>
      <c r="D139" s="1">
        <v>5</v>
      </c>
      <c r="E139" s="1">
        <v>17</v>
      </c>
      <c r="F139" s="2">
        <f>DATE(WeatherData[[#This Row],[Year]],WeatherData[[#This Row],[Month]],WeatherData[[#This Row],[Day]])</f>
        <v>43968</v>
      </c>
      <c r="G139" s="2" t="str">
        <f>TEXT(WeatherData[[#This Row],[Date]], "mmmm")</f>
        <v>May</v>
      </c>
      <c r="H139" s="16">
        <v>0</v>
      </c>
      <c r="I139" s="16">
        <v>19.100000000000001</v>
      </c>
      <c r="J139" s="16">
        <v>4.3</v>
      </c>
      <c r="K139" s="6">
        <f t="shared" si="4"/>
        <v>14.8</v>
      </c>
      <c r="L139" s="4" t="str">
        <f t="shared" si="5"/>
        <v>Normal</v>
      </c>
    </row>
    <row r="140" spans="1:12" ht="18" customHeight="1" x14ac:dyDescent="0.3">
      <c r="A140" s="1">
        <v>23034</v>
      </c>
      <c r="B140" s="1" t="str">
        <f>VLOOKUP( WeatherData[[#This Row],[Station Number]], 'Station Numbers'!A:B,2,FALSE)</f>
        <v xml:space="preserve">Adelaide Airport </v>
      </c>
      <c r="C140" s="1">
        <v>2020</v>
      </c>
      <c r="D140" s="1">
        <v>5</v>
      </c>
      <c r="E140" s="1">
        <v>18</v>
      </c>
      <c r="F140" s="2">
        <f>DATE(WeatherData[[#This Row],[Year]],WeatherData[[#This Row],[Month]],WeatherData[[#This Row],[Day]])</f>
        <v>43969</v>
      </c>
      <c r="G140" s="2" t="str">
        <f>TEXT(WeatherData[[#This Row],[Date]], "mmmm")</f>
        <v>May</v>
      </c>
      <c r="H140" s="16">
        <v>0</v>
      </c>
      <c r="I140" s="16">
        <v>21.4</v>
      </c>
      <c r="J140" s="16">
        <v>7.6</v>
      </c>
      <c r="K140" s="6">
        <f t="shared" si="4"/>
        <v>13.799999999999999</v>
      </c>
      <c r="L140" s="4" t="str">
        <f t="shared" si="5"/>
        <v>Normal</v>
      </c>
    </row>
    <row r="141" spans="1:12" ht="18" customHeight="1" x14ac:dyDescent="0.3">
      <c r="A141" s="1">
        <v>23034</v>
      </c>
      <c r="B141" s="1" t="str">
        <f>VLOOKUP( WeatherData[[#This Row],[Station Number]], 'Station Numbers'!A:B,2,FALSE)</f>
        <v xml:space="preserve">Adelaide Airport </v>
      </c>
      <c r="C141" s="1">
        <v>2020</v>
      </c>
      <c r="D141" s="1">
        <v>5</v>
      </c>
      <c r="E141" s="1">
        <v>19</v>
      </c>
      <c r="F141" s="2">
        <f>DATE(WeatherData[[#This Row],[Year]],WeatherData[[#This Row],[Month]],WeatherData[[#This Row],[Day]])</f>
        <v>43970</v>
      </c>
      <c r="G141" s="2" t="str">
        <f>TEXT(WeatherData[[#This Row],[Date]], "mmmm")</f>
        <v>May</v>
      </c>
      <c r="H141" s="16">
        <v>0</v>
      </c>
      <c r="I141" s="16">
        <v>22.5</v>
      </c>
      <c r="J141" s="16">
        <v>11.5</v>
      </c>
      <c r="K141" s="6">
        <f t="shared" si="4"/>
        <v>11</v>
      </c>
      <c r="L141" s="4" t="str">
        <f t="shared" si="5"/>
        <v>Normal</v>
      </c>
    </row>
    <row r="142" spans="1:12" ht="18" customHeight="1" x14ac:dyDescent="0.3">
      <c r="A142" s="1">
        <v>23034</v>
      </c>
      <c r="B142" s="1" t="str">
        <f>VLOOKUP( WeatherData[[#This Row],[Station Number]], 'Station Numbers'!A:B,2,FALSE)</f>
        <v xml:space="preserve">Adelaide Airport </v>
      </c>
      <c r="C142" s="1">
        <v>2020</v>
      </c>
      <c r="D142" s="1">
        <v>5</v>
      </c>
      <c r="E142" s="1">
        <v>20</v>
      </c>
      <c r="F142" s="2">
        <f>DATE(WeatherData[[#This Row],[Year]],WeatherData[[#This Row],[Month]],WeatherData[[#This Row],[Day]])</f>
        <v>43971</v>
      </c>
      <c r="G142" s="2" t="str">
        <f>TEXT(WeatherData[[#This Row],[Date]], "mmmm")</f>
        <v>May</v>
      </c>
      <c r="H142" s="16">
        <v>1.2</v>
      </c>
      <c r="I142" s="16">
        <v>15.3</v>
      </c>
      <c r="J142" s="16">
        <v>12.2</v>
      </c>
      <c r="K142" s="6">
        <f t="shared" si="4"/>
        <v>3.1000000000000014</v>
      </c>
      <c r="L142" s="4" t="str">
        <f t="shared" si="5"/>
        <v>Normal</v>
      </c>
    </row>
    <row r="143" spans="1:12" ht="18" customHeight="1" x14ac:dyDescent="0.3">
      <c r="A143" s="1">
        <v>23034</v>
      </c>
      <c r="B143" s="1" t="str">
        <f>VLOOKUP( WeatherData[[#This Row],[Station Number]], 'Station Numbers'!A:B,2,FALSE)</f>
        <v xml:space="preserve">Adelaide Airport </v>
      </c>
      <c r="C143" s="1">
        <v>2020</v>
      </c>
      <c r="D143" s="1">
        <v>5</v>
      </c>
      <c r="E143" s="1">
        <v>21</v>
      </c>
      <c r="F143" s="2">
        <f>DATE(WeatherData[[#This Row],[Year]],WeatherData[[#This Row],[Month]],WeatherData[[#This Row],[Day]])</f>
        <v>43972</v>
      </c>
      <c r="G143" s="2" t="str">
        <f>TEXT(WeatherData[[#This Row],[Date]], "mmmm")</f>
        <v>May</v>
      </c>
      <c r="H143" s="16">
        <v>5.2</v>
      </c>
      <c r="I143" s="16">
        <v>14.3</v>
      </c>
      <c r="J143" s="16">
        <v>7.7</v>
      </c>
      <c r="K143" s="6">
        <f t="shared" si="4"/>
        <v>6.6000000000000005</v>
      </c>
      <c r="L143" s="4" t="str">
        <f t="shared" si="5"/>
        <v>Normal</v>
      </c>
    </row>
    <row r="144" spans="1:12" ht="18" customHeight="1" x14ac:dyDescent="0.3">
      <c r="A144" s="1">
        <v>23034</v>
      </c>
      <c r="B144" s="1" t="str">
        <f>VLOOKUP( WeatherData[[#This Row],[Station Number]], 'Station Numbers'!A:B,2,FALSE)</f>
        <v xml:space="preserve">Adelaide Airport </v>
      </c>
      <c r="C144" s="1">
        <v>2020</v>
      </c>
      <c r="D144" s="1">
        <v>5</v>
      </c>
      <c r="E144" s="1">
        <v>22</v>
      </c>
      <c r="F144" s="2">
        <f>DATE(WeatherData[[#This Row],[Year]],WeatherData[[#This Row],[Month]],WeatherData[[#This Row],[Day]])</f>
        <v>43973</v>
      </c>
      <c r="G144" s="2" t="str">
        <f>TEXT(WeatherData[[#This Row],[Date]], "mmmm")</f>
        <v>May</v>
      </c>
      <c r="H144" s="16">
        <v>4.2</v>
      </c>
      <c r="I144" s="16">
        <v>15.4</v>
      </c>
      <c r="J144" s="16">
        <v>10.1</v>
      </c>
      <c r="K144" s="6">
        <f t="shared" si="4"/>
        <v>5.3000000000000007</v>
      </c>
      <c r="L144" s="4" t="str">
        <f t="shared" si="5"/>
        <v>Normal</v>
      </c>
    </row>
    <row r="145" spans="1:12" ht="18" customHeight="1" x14ac:dyDescent="0.3">
      <c r="A145" s="1">
        <v>23034</v>
      </c>
      <c r="B145" s="1" t="str">
        <f>VLOOKUP( WeatherData[[#This Row],[Station Number]], 'Station Numbers'!A:B,2,FALSE)</f>
        <v xml:space="preserve">Adelaide Airport </v>
      </c>
      <c r="C145" s="1">
        <v>2020</v>
      </c>
      <c r="D145" s="1">
        <v>5</v>
      </c>
      <c r="E145" s="1">
        <v>23</v>
      </c>
      <c r="F145" s="2">
        <f>DATE(WeatherData[[#This Row],[Year]],WeatherData[[#This Row],[Month]],WeatherData[[#This Row],[Day]])</f>
        <v>43974</v>
      </c>
      <c r="G145" s="2" t="str">
        <f>TEXT(WeatherData[[#This Row],[Date]], "mmmm")</f>
        <v>May</v>
      </c>
      <c r="H145" s="16">
        <v>5.6</v>
      </c>
      <c r="I145" s="16">
        <v>16.100000000000001</v>
      </c>
      <c r="J145" s="16">
        <v>10.3</v>
      </c>
      <c r="K145" s="6">
        <f t="shared" si="4"/>
        <v>5.8000000000000007</v>
      </c>
      <c r="L145" s="4" t="str">
        <f t="shared" si="5"/>
        <v>Normal</v>
      </c>
    </row>
    <row r="146" spans="1:12" ht="18" customHeight="1" x14ac:dyDescent="0.3">
      <c r="A146" s="1">
        <v>23034</v>
      </c>
      <c r="B146" s="1" t="str">
        <f>VLOOKUP( WeatherData[[#This Row],[Station Number]], 'Station Numbers'!A:B,2,FALSE)</f>
        <v xml:space="preserve">Adelaide Airport </v>
      </c>
      <c r="C146" s="1">
        <v>2020</v>
      </c>
      <c r="D146" s="1">
        <v>5</v>
      </c>
      <c r="E146" s="1">
        <v>24</v>
      </c>
      <c r="F146" s="2">
        <f>DATE(WeatherData[[#This Row],[Year]],WeatherData[[#This Row],[Month]],WeatherData[[#This Row],[Day]])</f>
        <v>43975</v>
      </c>
      <c r="G146" s="2" t="str">
        <f>TEXT(WeatherData[[#This Row],[Date]], "mmmm")</f>
        <v>May</v>
      </c>
      <c r="H146" s="16">
        <v>0</v>
      </c>
      <c r="I146" s="16">
        <v>14.3</v>
      </c>
      <c r="J146" s="16">
        <v>10.9</v>
      </c>
      <c r="K146" s="6">
        <f t="shared" si="4"/>
        <v>3.4000000000000004</v>
      </c>
      <c r="L146" s="4" t="str">
        <f t="shared" si="5"/>
        <v>Normal</v>
      </c>
    </row>
    <row r="147" spans="1:12" ht="18" customHeight="1" x14ac:dyDescent="0.3">
      <c r="A147" s="1">
        <v>23034</v>
      </c>
      <c r="B147" s="1" t="str">
        <f>VLOOKUP( WeatherData[[#This Row],[Station Number]], 'Station Numbers'!A:B,2,FALSE)</f>
        <v xml:space="preserve">Adelaide Airport </v>
      </c>
      <c r="C147" s="1">
        <v>2020</v>
      </c>
      <c r="D147" s="1">
        <v>5</v>
      </c>
      <c r="E147" s="1">
        <v>25</v>
      </c>
      <c r="F147" s="2">
        <f>DATE(WeatherData[[#This Row],[Year]],WeatherData[[#This Row],[Month]],WeatherData[[#This Row],[Day]])</f>
        <v>43976</v>
      </c>
      <c r="G147" s="2" t="str">
        <f>TEXT(WeatherData[[#This Row],[Date]], "mmmm")</f>
        <v>May</v>
      </c>
      <c r="H147" s="16">
        <v>0</v>
      </c>
      <c r="I147" s="16">
        <v>14.5</v>
      </c>
      <c r="J147" s="16">
        <v>4.9000000000000004</v>
      </c>
      <c r="K147" s="6">
        <f t="shared" si="4"/>
        <v>9.6</v>
      </c>
      <c r="L147" s="4" t="str">
        <f t="shared" si="5"/>
        <v>Normal</v>
      </c>
    </row>
    <row r="148" spans="1:12" ht="18" customHeight="1" x14ac:dyDescent="0.3">
      <c r="A148" s="1">
        <v>23034</v>
      </c>
      <c r="B148" s="1" t="str">
        <f>VLOOKUP( WeatherData[[#This Row],[Station Number]], 'Station Numbers'!A:B,2,FALSE)</f>
        <v xml:space="preserve">Adelaide Airport </v>
      </c>
      <c r="C148" s="1">
        <v>2020</v>
      </c>
      <c r="D148" s="1">
        <v>5</v>
      </c>
      <c r="E148" s="1">
        <v>26</v>
      </c>
      <c r="F148" s="2">
        <f>DATE(WeatherData[[#This Row],[Year]],WeatherData[[#This Row],[Month]],WeatherData[[#This Row],[Day]])</f>
        <v>43977</v>
      </c>
      <c r="G148" s="2" t="str">
        <f>TEXT(WeatherData[[#This Row],[Date]], "mmmm")</f>
        <v>May</v>
      </c>
      <c r="H148" s="16">
        <v>0</v>
      </c>
      <c r="I148" s="16">
        <v>16.8</v>
      </c>
      <c r="J148" s="16">
        <v>6.8</v>
      </c>
      <c r="K148" s="6">
        <f t="shared" si="4"/>
        <v>10</v>
      </c>
      <c r="L148" s="4" t="str">
        <f t="shared" si="5"/>
        <v>Normal</v>
      </c>
    </row>
    <row r="149" spans="1:12" ht="18" customHeight="1" x14ac:dyDescent="0.3">
      <c r="A149" s="1">
        <v>23034</v>
      </c>
      <c r="B149" s="1" t="str">
        <f>VLOOKUP( WeatherData[[#This Row],[Station Number]], 'Station Numbers'!A:B,2,FALSE)</f>
        <v xml:space="preserve">Adelaide Airport </v>
      </c>
      <c r="C149" s="1">
        <v>2020</v>
      </c>
      <c r="D149" s="1">
        <v>5</v>
      </c>
      <c r="E149" s="1">
        <v>27</v>
      </c>
      <c r="F149" s="2">
        <f>DATE(WeatherData[[#This Row],[Year]],WeatherData[[#This Row],[Month]],WeatherData[[#This Row],[Day]])</f>
        <v>43978</v>
      </c>
      <c r="G149" s="2" t="str">
        <f>TEXT(WeatherData[[#This Row],[Date]], "mmmm")</f>
        <v>May</v>
      </c>
      <c r="H149" s="16">
        <v>0</v>
      </c>
      <c r="I149" s="16">
        <v>17.399999999999999</v>
      </c>
      <c r="J149" s="16">
        <v>9.9</v>
      </c>
      <c r="K149" s="6">
        <f t="shared" si="4"/>
        <v>7.4999999999999982</v>
      </c>
      <c r="L149" s="4" t="str">
        <f t="shared" si="5"/>
        <v>Normal</v>
      </c>
    </row>
    <row r="150" spans="1:12" ht="18" customHeight="1" x14ac:dyDescent="0.3">
      <c r="A150" s="1">
        <v>23034</v>
      </c>
      <c r="B150" s="1" t="str">
        <f>VLOOKUP( WeatherData[[#This Row],[Station Number]], 'Station Numbers'!A:B,2,FALSE)</f>
        <v xml:space="preserve">Adelaide Airport </v>
      </c>
      <c r="C150" s="1">
        <v>2020</v>
      </c>
      <c r="D150" s="1">
        <v>5</v>
      </c>
      <c r="E150" s="1">
        <v>28</v>
      </c>
      <c r="F150" s="2">
        <f>DATE(WeatherData[[#This Row],[Year]],WeatherData[[#This Row],[Month]],WeatherData[[#This Row],[Day]])</f>
        <v>43979</v>
      </c>
      <c r="G150" s="2" t="str">
        <f>TEXT(WeatherData[[#This Row],[Date]], "mmmm")</f>
        <v>May</v>
      </c>
      <c r="H150" s="16">
        <v>0.6</v>
      </c>
      <c r="I150" s="16">
        <v>16.8</v>
      </c>
      <c r="J150" s="16">
        <v>10.5</v>
      </c>
      <c r="K150" s="6">
        <f t="shared" si="4"/>
        <v>6.3000000000000007</v>
      </c>
      <c r="L150" s="4" t="str">
        <f t="shared" si="5"/>
        <v>Normal</v>
      </c>
    </row>
    <row r="151" spans="1:12" ht="18" customHeight="1" x14ac:dyDescent="0.3">
      <c r="A151" s="1">
        <v>23034</v>
      </c>
      <c r="B151" s="1" t="str">
        <f>VLOOKUP( WeatherData[[#This Row],[Station Number]], 'Station Numbers'!A:B,2,FALSE)</f>
        <v xml:space="preserve">Adelaide Airport </v>
      </c>
      <c r="C151" s="1">
        <v>2020</v>
      </c>
      <c r="D151" s="1">
        <v>5</v>
      </c>
      <c r="E151" s="1">
        <v>29</v>
      </c>
      <c r="F151" s="2">
        <f>DATE(WeatherData[[#This Row],[Year]],WeatherData[[#This Row],[Month]],WeatherData[[#This Row],[Day]])</f>
        <v>43980</v>
      </c>
      <c r="G151" s="2" t="str">
        <f>TEXT(WeatherData[[#This Row],[Date]], "mmmm")</f>
        <v>May</v>
      </c>
      <c r="H151" s="16">
        <v>0</v>
      </c>
      <c r="I151" s="16">
        <v>19.399999999999999</v>
      </c>
      <c r="J151" s="16">
        <v>5.3</v>
      </c>
      <c r="K151" s="6">
        <f t="shared" si="4"/>
        <v>14.099999999999998</v>
      </c>
      <c r="L151" s="4" t="str">
        <f t="shared" si="5"/>
        <v>Normal</v>
      </c>
    </row>
    <row r="152" spans="1:12" ht="18" customHeight="1" x14ac:dyDescent="0.3">
      <c r="A152" s="1">
        <v>23034</v>
      </c>
      <c r="B152" s="1" t="str">
        <f>VLOOKUP( WeatherData[[#This Row],[Station Number]], 'Station Numbers'!A:B,2,FALSE)</f>
        <v xml:space="preserve">Adelaide Airport </v>
      </c>
      <c r="C152" s="1">
        <v>2020</v>
      </c>
      <c r="D152" s="1">
        <v>5</v>
      </c>
      <c r="E152" s="1">
        <v>30</v>
      </c>
      <c r="F152" s="2">
        <f>DATE(WeatherData[[#This Row],[Year]],WeatherData[[#This Row],[Month]],WeatherData[[#This Row],[Day]])</f>
        <v>43981</v>
      </c>
      <c r="G152" s="2" t="str">
        <f>TEXT(WeatherData[[#This Row],[Date]], "mmmm")</f>
        <v>May</v>
      </c>
      <c r="H152" s="16">
        <v>0</v>
      </c>
      <c r="I152" s="16">
        <v>19.600000000000001</v>
      </c>
      <c r="J152" s="16">
        <v>10.7</v>
      </c>
      <c r="K152" s="6">
        <f t="shared" si="4"/>
        <v>8.9000000000000021</v>
      </c>
      <c r="L152" s="4" t="str">
        <f t="shared" si="5"/>
        <v>Normal</v>
      </c>
    </row>
    <row r="153" spans="1:12" ht="18" customHeight="1" x14ac:dyDescent="0.3">
      <c r="A153" s="1">
        <v>23034</v>
      </c>
      <c r="B153" s="1" t="str">
        <f>VLOOKUP( WeatherData[[#This Row],[Station Number]], 'Station Numbers'!A:B,2,FALSE)</f>
        <v xml:space="preserve">Adelaide Airport </v>
      </c>
      <c r="C153" s="1">
        <v>2020</v>
      </c>
      <c r="D153" s="1">
        <v>5</v>
      </c>
      <c r="E153" s="1">
        <v>31</v>
      </c>
      <c r="F153" s="2">
        <f>DATE(WeatherData[[#This Row],[Year]],WeatherData[[#This Row],[Month]],WeatherData[[#This Row],[Day]])</f>
        <v>43982</v>
      </c>
      <c r="G153" s="2" t="str">
        <f>TEXT(WeatherData[[#This Row],[Date]], "mmmm")</f>
        <v>May</v>
      </c>
      <c r="H153" s="16">
        <v>2.4</v>
      </c>
      <c r="I153" s="16">
        <v>15.1</v>
      </c>
      <c r="J153" s="16">
        <v>11.7</v>
      </c>
      <c r="K153" s="6">
        <f t="shared" si="4"/>
        <v>3.4000000000000004</v>
      </c>
      <c r="L153" s="4" t="str">
        <f t="shared" si="5"/>
        <v>Normal</v>
      </c>
    </row>
    <row r="154" spans="1:12" ht="18" customHeight="1" x14ac:dyDescent="0.3">
      <c r="A154" s="1">
        <v>23034</v>
      </c>
      <c r="B154" s="1" t="str">
        <f>VLOOKUP( WeatherData[[#This Row],[Station Number]], 'Station Numbers'!A:B,2,FALSE)</f>
        <v xml:space="preserve">Adelaide Airport </v>
      </c>
      <c r="C154" s="1">
        <v>2020</v>
      </c>
      <c r="D154" s="1">
        <v>6</v>
      </c>
      <c r="E154" s="1">
        <v>1</v>
      </c>
      <c r="F154" s="2">
        <f>DATE(WeatherData[[#This Row],[Year]],WeatherData[[#This Row],[Month]],WeatherData[[#This Row],[Day]])</f>
        <v>43983</v>
      </c>
      <c r="G154" s="2" t="str">
        <f>TEXT(WeatherData[[#This Row],[Date]], "mmmm")</f>
        <v>June</v>
      </c>
      <c r="H154" s="16">
        <v>10.6</v>
      </c>
      <c r="I154" s="16">
        <v>14.6</v>
      </c>
      <c r="J154" s="16">
        <v>10.6</v>
      </c>
      <c r="K154" s="6">
        <f t="shared" si="4"/>
        <v>4</v>
      </c>
      <c r="L154" s="4" t="str">
        <f t="shared" si="5"/>
        <v>Normal</v>
      </c>
    </row>
    <row r="155" spans="1:12" ht="18" customHeight="1" x14ac:dyDescent="0.3">
      <c r="A155" s="1">
        <v>23034</v>
      </c>
      <c r="B155" s="1" t="str">
        <f>VLOOKUP( WeatherData[[#This Row],[Station Number]], 'Station Numbers'!A:B,2,FALSE)</f>
        <v xml:space="preserve">Adelaide Airport </v>
      </c>
      <c r="C155" s="1">
        <v>2020</v>
      </c>
      <c r="D155" s="1">
        <v>6</v>
      </c>
      <c r="E155" s="1">
        <v>2</v>
      </c>
      <c r="F155" s="2">
        <f>DATE(WeatherData[[#This Row],[Year]],WeatherData[[#This Row],[Month]],WeatherData[[#This Row],[Day]])</f>
        <v>43984</v>
      </c>
      <c r="G155" s="2" t="str">
        <f>TEXT(WeatherData[[#This Row],[Date]], "mmmm")</f>
        <v>June</v>
      </c>
      <c r="H155" s="16">
        <v>1.2</v>
      </c>
      <c r="I155" s="16">
        <v>16.399999999999999</v>
      </c>
      <c r="J155" s="16">
        <v>11.5</v>
      </c>
      <c r="K155" s="6">
        <f t="shared" si="4"/>
        <v>4.8999999999999986</v>
      </c>
      <c r="L155" s="4" t="str">
        <f t="shared" si="5"/>
        <v>Normal</v>
      </c>
    </row>
    <row r="156" spans="1:12" ht="18" customHeight="1" x14ac:dyDescent="0.3">
      <c r="A156" s="1">
        <v>23034</v>
      </c>
      <c r="B156" s="1" t="str">
        <f>VLOOKUP( WeatherData[[#This Row],[Station Number]], 'Station Numbers'!A:B,2,FALSE)</f>
        <v xml:space="preserve">Adelaide Airport </v>
      </c>
      <c r="C156" s="1">
        <v>2020</v>
      </c>
      <c r="D156" s="1">
        <v>6</v>
      </c>
      <c r="E156" s="1">
        <v>3</v>
      </c>
      <c r="F156" s="2">
        <f>DATE(WeatherData[[#This Row],[Year]],WeatherData[[#This Row],[Month]],WeatherData[[#This Row],[Day]])</f>
        <v>43985</v>
      </c>
      <c r="G156" s="2" t="str">
        <f>TEXT(WeatherData[[#This Row],[Date]], "mmmm")</f>
        <v>June</v>
      </c>
      <c r="H156" s="16">
        <v>0.8</v>
      </c>
      <c r="I156" s="16">
        <v>15.9</v>
      </c>
      <c r="J156" s="16">
        <v>12.2</v>
      </c>
      <c r="K156" s="6">
        <f t="shared" si="4"/>
        <v>3.7000000000000011</v>
      </c>
      <c r="L156" s="4" t="str">
        <f t="shared" si="5"/>
        <v>Normal</v>
      </c>
    </row>
    <row r="157" spans="1:12" ht="18" customHeight="1" x14ac:dyDescent="0.3">
      <c r="A157" s="1">
        <v>23034</v>
      </c>
      <c r="B157" s="1" t="str">
        <f>VLOOKUP( WeatherData[[#This Row],[Station Number]], 'Station Numbers'!A:B,2,FALSE)</f>
        <v xml:space="preserve">Adelaide Airport </v>
      </c>
      <c r="C157" s="1">
        <v>2020</v>
      </c>
      <c r="D157" s="1">
        <v>6</v>
      </c>
      <c r="E157" s="1">
        <v>4</v>
      </c>
      <c r="F157" s="2">
        <f>DATE(WeatherData[[#This Row],[Year]],WeatherData[[#This Row],[Month]],WeatherData[[#This Row],[Day]])</f>
        <v>43986</v>
      </c>
      <c r="G157" s="2" t="str">
        <f>TEXT(WeatherData[[#This Row],[Date]], "mmmm")</f>
        <v>June</v>
      </c>
      <c r="H157" s="16">
        <v>0</v>
      </c>
      <c r="I157" s="16">
        <v>15</v>
      </c>
      <c r="J157" s="16">
        <v>2.8</v>
      </c>
      <c r="K157" s="6">
        <f t="shared" si="4"/>
        <v>12.2</v>
      </c>
      <c r="L157" s="4" t="str">
        <f t="shared" si="5"/>
        <v>Normal</v>
      </c>
    </row>
    <row r="158" spans="1:12" ht="18" customHeight="1" x14ac:dyDescent="0.3">
      <c r="A158" s="1">
        <v>23034</v>
      </c>
      <c r="B158" s="1" t="str">
        <f>VLOOKUP( WeatherData[[#This Row],[Station Number]], 'Station Numbers'!A:B,2,FALSE)</f>
        <v xml:space="preserve">Adelaide Airport </v>
      </c>
      <c r="C158" s="1">
        <v>2020</v>
      </c>
      <c r="D158" s="1">
        <v>6</v>
      </c>
      <c r="E158" s="1">
        <v>5</v>
      </c>
      <c r="F158" s="2">
        <f>DATE(WeatherData[[#This Row],[Year]],WeatherData[[#This Row],[Month]],WeatherData[[#This Row],[Day]])</f>
        <v>43987</v>
      </c>
      <c r="G158" s="2" t="str">
        <f>TEXT(WeatherData[[#This Row],[Date]], "mmmm")</f>
        <v>June</v>
      </c>
      <c r="H158" s="16">
        <v>0</v>
      </c>
      <c r="I158" s="16">
        <v>15</v>
      </c>
      <c r="J158" s="16">
        <v>2.5</v>
      </c>
      <c r="K158" s="6">
        <f t="shared" si="4"/>
        <v>12.5</v>
      </c>
      <c r="L158" s="4" t="str">
        <f t="shared" si="5"/>
        <v>Normal</v>
      </c>
    </row>
    <row r="159" spans="1:12" ht="18" customHeight="1" x14ac:dyDescent="0.3">
      <c r="A159" s="1">
        <v>23034</v>
      </c>
      <c r="B159" s="1" t="str">
        <f>VLOOKUP( WeatherData[[#This Row],[Station Number]], 'Station Numbers'!A:B,2,FALSE)</f>
        <v xml:space="preserve">Adelaide Airport </v>
      </c>
      <c r="C159" s="1">
        <v>2020</v>
      </c>
      <c r="D159" s="1">
        <v>6</v>
      </c>
      <c r="E159" s="1">
        <v>6</v>
      </c>
      <c r="F159" s="2">
        <f>DATE(WeatherData[[#This Row],[Year]],WeatherData[[#This Row],[Month]],WeatherData[[#This Row],[Day]])</f>
        <v>43988</v>
      </c>
      <c r="G159" s="2" t="str">
        <f>TEXT(WeatherData[[#This Row],[Date]], "mmmm")</f>
        <v>June</v>
      </c>
      <c r="H159" s="16">
        <v>0</v>
      </c>
      <c r="I159" s="16">
        <v>14.2</v>
      </c>
      <c r="J159" s="16">
        <v>4</v>
      </c>
      <c r="K159" s="6">
        <f t="shared" si="4"/>
        <v>10.199999999999999</v>
      </c>
      <c r="L159" s="4" t="str">
        <f t="shared" si="5"/>
        <v>Normal</v>
      </c>
    </row>
    <row r="160" spans="1:12" ht="18" customHeight="1" x14ac:dyDescent="0.3">
      <c r="A160" s="1">
        <v>23034</v>
      </c>
      <c r="B160" s="1" t="str">
        <f>VLOOKUP( WeatherData[[#This Row],[Station Number]], 'Station Numbers'!A:B,2,FALSE)</f>
        <v xml:space="preserve">Adelaide Airport </v>
      </c>
      <c r="C160" s="1">
        <v>2020</v>
      </c>
      <c r="D160" s="1">
        <v>6</v>
      </c>
      <c r="E160" s="1">
        <v>7</v>
      </c>
      <c r="F160" s="2">
        <f>DATE(WeatherData[[#This Row],[Year]],WeatherData[[#This Row],[Month]],WeatherData[[#This Row],[Day]])</f>
        <v>43989</v>
      </c>
      <c r="G160" s="2" t="str">
        <f>TEXT(WeatherData[[#This Row],[Date]], "mmmm")</f>
        <v>June</v>
      </c>
      <c r="H160" s="16">
        <v>0</v>
      </c>
      <c r="I160" s="16">
        <v>13.9</v>
      </c>
      <c r="J160" s="16">
        <v>2.9</v>
      </c>
      <c r="K160" s="6">
        <f t="shared" si="4"/>
        <v>11</v>
      </c>
      <c r="L160" s="4" t="str">
        <f t="shared" si="5"/>
        <v>Normal</v>
      </c>
    </row>
    <row r="161" spans="1:12" ht="18" customHeight="1" x14ac:dyDescent="0.3">
      <c r="A161" s="1">
        <v>23034</v>
      </c>
      <c r="B161" s="1" t="str">
        <f>VLOOKUP( WeatherData[[#This Row],[Station Number]], 'Station Numbers'!A:B,2,FALSE)</f>
        <v xml:space="preserve">Adelaide Airport </v>
      </c>
      <c r="C161" s="1">
        <v>2020</v>
      </c>
      <c r="D161" s="1">
        <v>6</v>
      </c>
      <c r="E161" s="1">
        <v>8</v>
      </c>
      <c r="F161" s="2">
        <f>DATE(WeatherData[[#This Row],[Year]],WeatherData[[#This Row],[Month]],WeatherData[[#This Row],[Day]])</f>
        <v>43990</v>
      </c>
      <c r="G161" s="2" t="str">
        <f>TEXT(WeatherData[[#This Row],[Date]], "mmmm")</f>
        <v>June</v>
      </c>
      <c r="H161" s="16">
        <v>0</v>
      </c>
      <c r="I161" s="16">
        <v>13.9</v>
      </c>
      <c r="J161" s="16">
        <v>1.1000000000000001</v>
      </c>
      <c r="K161" s="6">
        <f t="shared" si="4"/>
        <v>12.8</v>
      </c>
      <c r="L161" s="4" t="str">
        <f t="shared" si="5"/>
        <v>Normal</v>
      </c>
    </row>
    <row r="162" spans="1:12" ht="18" customHeight="1" x14ac:dyDescent="0.3">
      <c r="A162" s="1">
        <v>23034</v>
      </c>
      <c r="B162" s="1" t="str">
        <f>VLOOKUP( WeatherData[[#This Row],[Station Number]], 'Station Numbers'!A:B,2,FALSE)</f>
        <v xml:space="preserve">Adelaide Airport </v>
      </c>
      <c r="C162" s="1">
        <v>2020</v>
      </c>
      <c r="D162" s="1">
        <v>6</v>
      </c>
      <c r="E162" s="1">
        <v>9</v>
      </c>
      <c r="F162" s="2">
        <f>DATE(WeatherData[[#This Row],[Year]],WeatherData[[#This Row],[Month]],WeatherData[[#This Row],[Day]])</f>
        <v>43991</v>
      </c>
      <c r="G162" s="2" t="str">
        <f>TEXT(WeatherData[[#This Row],[Date]], "mmmm")</f>
        <v>June</v>
      </c>
      <c r="H162" s="16">
        <v>0</v>
      </c>
      <c r="I162" s="16">
        <v>14.6</v>
      </c>
      <c r="J162" s="16">
        <v>0.7</v>
      </c>
      <c r="K162" s="6">
        <f t="shared" si="4"/>
        <v>13.9</v>
      </c>
      <c r="L162" s="4" t="str">
        <f t="shared" si="5"/>
        <v>Normal</v>
      </c>
    </row>
    <row r="163" spans="1:12" ht="18" customHeight="1" x14ac:dyDescent="0.3">
      <c r="A163" s="1">
        <v>23034</v>
      </c>
      <c r="B163" s="1" t="str">
        <f>VLOOKUP( WeatherData[[#This Row],[Station Number]], 'Station Numbers'!A:B,2,FALSE)</f>
        <v xml:space="preserve">Adelaide Airport </v>
      </c>
      <c r="C163" s="1">
        <v>2020</v>
      </c>
      <c r="D163" s="1">
        <v>6</v>
      </c>
      <c r="E163" s="1">
        <v>10</v>
      </c>
      <c r="F163" s="2">
        <f>DATE(WeatherData[[#This Row],[Year]],WeatherData[[#This Row],[Month]],WeatherData[[#This Row],[Day]])</f>
        <v>43992</v>
      </c>
      <c r="G163" s="2" t="str">
        <f>TEXT(WeatherData[[#This Row],[Date]], "mmmm")</f>
        <v>June</v>
      </c>
      <c r="H163" s="16">
        <v>0</v>
      </c>
      <c r="I163" s="16">
        <v>14.3</v>
      </c>
      <c r="J163" s="16">
        <v>-0.4</v>
      </c>
      <c r="K163" s="6">
        <f t="shared" si="4"/>
        <v>14.700000000000001</v>
      </c>
      <c r="L163" s="4" t="str">
        <f t="shared" si="5"/>
        <v>Normal</v>
      </c>
    </row>
    <row r="164" spans="1:12" ht="18" customHeight="1" x14ac:dyDescent="0.3">
      <c r="A164" s="1">
        <v>23034</v>
      </c>
      <c r="B164" s="1" t="str">
        <f>VLOOKUP( WeatherData[[#This Row],[Station Number]], 'Station Numbers'!A:B,2,FALSE)</f>
        <v xml:space="preserve">Adelaide Airport </v>
      </c>
      <c r="C164" s="1">
        <v>2020</v>
      </c>
      <c r="D164" s="1">
        <v>6</v>
      </c>
      <c r="E164" s="1">
        <v>11</v>
      </c>
      <c r="F164" s="2">
        <f>DATE(WeatherData[[#This Row],[Year]],WeatherData[[#This Row],[Month]],WeatherData[[#This Row],[Day]])</f>
        <v>43993</v>
      </c>
      <c r="G164" s="2" t="str">
        <f>TEXT(WeatherData[[#This Row],[Date]], "mmmm")</f>
        <v>June</v>
      </c>
      <c r="H164" s="16">
        <v>0</v>
      </c>
      <c r="I164" s="16">
        <v>15.5</v>
      </c>
      <c r="J164" s="16">
        <v>0</v>
      </c>
      <c r="K164" s="6">
        <f t="shared" si="4"/>
        <v>15.5</v>
      </c>
      <c r="L164" s="4" t="str">
        <f t="shared" si="5"/>
        <v>Normal</v>
      </c>
    </row>
    <row r="165" spans="1:12" ht="18" customHeight="1" x14ac:dyDescent="0.3">
      <c r="A165" s="1">
        <v>23034</v>
      </c>
      <c r="B165" s="1" t="str">
        <f>VLOOKUP( WeatherData[[#This Row],[Station Number]], 'Station Numbers'!A:B,2,FALSE)</f>
        <v xml:space="preserve">Adelaide Airport </v>
      </c>
      <c r="C165" s="1">
        <v>2020</v>
      </c>
      <c r="D165" s="1">
        <v>6</v>
      </c>
      <c r="E165" s="1">
        <v>12</v>
      </c>
      <c r="F165" s="2">
        <f>DATE(WeatherData[[#This Row],[Year]],WeatherData[[#This Row],[Month]],WeatherData[[#This Row],[Day]])</f>
        <v>43994</v>
      </c>
      <c r="G165" s="2" t="str">
        <f>TEXT(WeatherData[[#This Row],[Date]], "mmmm")</f>
        <v>June</v>
      </c>
      <c r="H165" s="16">
        <v>0.2</v>
      </c>
      <c r="I165" s="16">
        <v>20.100000000000001</v>
      </c>
      <c r="J165" s="16">
        <v>2.4</v>
      </c>
      <c r="K165" s="6">
        <f t="shared" si="4"/>
        <v>17.700000000000003</v>
      </c>
      <c r="L165" s="4" t="str">
        <f t="shared" si="5"/>
        <v>Normal</v>
      </c>
    </row>
    <row r="166" spans="1:12" ht="18" customHeight="1" x14ac:dyDescent="0.3">
      <c r="A166" s="1">
        <v>23034</v>
      </c>
      <c r="B166" s="1" t="str">
        <f>VLOOKUP( WeatherData[[#This Row],[Station Number]], 'Station Numbers'!A:B,2,FALSE)</f>
        <v xml:space="preserve">Adelaide Airport </v>
      </c>
      <c r="C166" s="1">
        <v>2020</v>
      </c>
      <c r="D166" s="1">
        <v>6</v>
      </c>
      <c r="E166" s="1">
        <v>13</v>
      </c>
      <c r="F166" s="2">
        <f>DATE(WeatherData[[#This Row],[Year]],WeatherData[[#This Row],[Month]],WeatherData[[#This Row],[Day]])</f>
        <v>43995</v>
      </c>
      <c r="G166" s="2" t="str">
        <f>TEXT(WeatherData[[#This Row],[Date]], "mmmm")</f>
        <v>June</v>
      </c>
      <c r="H166" s="16">
        <v>0.8</v>
      </c>
      <c r="I166" s="16">
        <v>14.9</v>
      </c>
      <c r="J166" s="16">
        <v>10.4</v>
      </c>
      <c r="K166" s="6">
        <f t="shared" si="4"/>
        <v>4.5</v>
      </c>
      <c r="L166" s="4" t="str">
        <f t="shared" si="5"/>
        <v>Normal</v>
      </c>
    </row>
    <row r="167" spans="1:12" ht="18" customHeight="1" x14ac:dyDescent="0.3">
      <c r="A167" s="1">
        <v>23034</v>
      </c>
      <c r="B167" s="1" t="str">
        <f>VLOOKUP( WeatherData[[#This Row],[Station Number]], 'Station Numbers'!A:B,2,FALSE)</f>
        <v xml:space="preserve">Adelaide Airport </v>
      </c>
      <c r="C167" s="1">
        <v>2020</v>
      </c>
      <c r="D167" s="1">
        <v>6</v>
      </c>
      <c r="E167" s="1">
        <v>14</v>
      </c>
      <c r="F167" s="2">
        <f>DATE(WeatherData[[#This Row],[Year]],WeatherData[[#This Row],[Month]],WeatherData[[#This Row],[Day]])</f>
        <v>43996</v>
      </c>
      <c r="G167" s="2" t="str">
        <f>TEXT(WeatherData[[#This Row],[Date]], "mmmm")</f>
        <v>June</v>
      </c>
      <c r="H167" s="16">
        <v>4.5999999999999996</v>
      </c>
      <c r="I167" s="16">
        <v>15.6</v>
      </c>
      <c r="J167" s="16">
        <v>8.6</v>
      </c>
      <c r="K167" s="6">
        <f t="shared" si="4"/>
        <v>7</v>
      </c>
      <c r="L167" s="4" t="str">
        <f t="shared" si="5"/>
        <v>Normal</v>
      </c>
    </row>
    <row r="168" spans="1:12" ht="18" customHeight="1" x14ac:dyDescent="0.3">
      <c r="A168" s="1">
        <v>23034</v>
      </c>
      <c r="B168" s="1" t="str">
        <f>VLOOKUP( WeatherData[[#This Row],[Station Number]], 'Station Numbers'!A:B,2,FALSE)</f>
        <v xml:space="preserve">Adelaide Airport </v>
      </c>
      <c r="C168" s="1">
        <v>2020</v>
      </c>
      <c r="D168" s="1">
        <v>6</v>
      </c>
      <c r="E168" s="1">
        <v>15</v>
      </c>
      <c r="F168" s="2">
        <f>DATE(WeatherData[[#This Row],[Year]],WeatherData[[#This Row],[Month]],WeatherData[[#This Row],[Day]])</f>
        <v>43997</v>
      </c>
      <c r="G168" s="2" t="str">
        <f>TEXT(WeatherData[[#This Row],[Date]], "mmmm")</f>
        <v>June</v>
      </c>
      <c r="H168" s="16">
        <v>3.8</v>
      </c>
      <c r="I168" s="16">
        <v>17.399999999999999</v>
      </c>
      <c r="J168" s="16">
        <v>9.9</v>
      </c>
      <c r="K168" s="6">
        <f t="shared" si="4"/>
        <v>7.4999999999999982</v>
      </c>
      <c r="L168" s="4" t="str">
        <f t="shared" si="5"/>
        <v>Normal</v>
      </c>
    </row>
    <row r="169" spans="1:12" ht="18" customHeight="1" x14ac:dyDescent="0.3">
      <c r="A169" s="1">
        <v>23034</v>
      </c>
      <c r="B169" s="1" t="str">
        <f>VLOOKUP( WeatherData[[#This Row],[Station Number]], 'Station Numbers'!A:B,2,FALSE)</f>
        <v xml:space="preserve">Adelaide Airport </v>
      </c>
      <c r="C169" s="1">
        <v>2020</v>
      </c>
      <c r="D169" s="1">
        <v>6</v>
      </c>
      <c r="E169" s="1">
        <v>16</v>
      </c>
      <c r="F169" s="2">
        <f>DATE(WeatherData[[#This Row],[Year]],WeatherData[[#This Row],[Month]],WeatherData[[#This Row],[Day]])</f>
        <v>43998</v>
      </c>
      <c r="G169" s="2" t="str">
        <f>TEXT(WeatherData[[#This Row],[Date]], "mmmm")</f>
        <v>June</v>
      </c>
      <c r="H169" s="16">
        <v>1.6</v>
      </c>
      <c r="I169" s="16">
        <v>16.399999999999999</v>
      </c>
      <c r="J169" s="16">
        <v>12.7</v>
      </c>
      <c r="K169" s="6">
        <f t="shared" si="4"/>
        <v>3.6999999999999993</v>
      </c>
      <c r="L169" s="4" t="str">
        <f t="shared" si="5"/>
        <v>Normal</v>
      </c>
    </row>
    <row r="170" spans="1:12" ht="18" customHeight="1" x14ac:dyDescent="0.3">
      <c r="A170" s="1">
        <v>23034</v>
      </c>
      <c r="B170" s="1" t="str">
        <f>VLOOKUP( WeatherData[[#This Row],[Station Number]], 'Station Numbers'!A:B,2,FALSE)</f>
        <v xml:space="preserve">Adelaide Airport </v>
      </c>
      <c r="C170" s="1">
        <v>2020</v>
      </c>
      <c r="D170" s="1">
        <v>6</v>
      </c>
      <c r="E170" s="1">
        <v>17</v>
      </c>
      <c r="F170" s="2">
        <f>DATE(WeatherData[[#This Row],[Year]],WeatherData[[#This Row],[Month]],WeatherData[[#This Row],[Day]])</f>
        <v>43999</v>
      </c>
      <c r="G170" s="2" t="str">
        <f>TEXT(WeatherData[[#This Row],[Date]], "mmmm")</f>
        <v>June</v>
      </c>
      <c r="H170" s="16">
        <v>4</v>
      </c>
      <c r="I170" s="16">
        <v>16.7</v>
      </c>
      <c r="J170" s="16">
        <v>8.1</v>
      </c>
      <c r="K170" s="6">
        <f t="shared" si="4"/>
        <v>8.6</v>
      </c>
      <c r="L170" s="4" t="str">
        <f t="shared" si="5"/>
        <v>Normal</v>
      </c>
    </row>
    <row r="171" spans="1:12" ht="18" customHeight="1" x14ac:dyDescent="0.3">
      <c r="A171" s="1">
        <v>23034</v>
      </c>
      <c r="B171" s="1" t="str">
        <f>VLOOKUP( WeatherData[[#This Row],[Station Number]], 'Station Numbers'!A:B,2,FALSE)</f>
        <v xml:space="preserve">Adelaide Airport </v>
      </c>
      <c r="C171" s="1">
        <v>2020</v>
      </c>
      <c r="D171" s="1">
        <v>6</v>
      </c>
      <c r="E171" s="1">
        <v>18</v>
      </c>
      <c r="F171" s="2">
        <f>DATE(WeatherData[[#This Row],[Year]],WeatherData[[#This Row],[Month]],WeatherData[[#This Row],[Day]])</f>
        <v>44000</v>
      </c>
      <c r="G171" s="2" t="str">
        <f>TEXT(WeatherData[[#This Row],[Date]], "mmmm")</f>
        <v>June</v>
      </c>
      <c r="H171" s="16">
        <v>0</v>
      </c>
      <c r="I171" s="16">
        <v>19.2</v>
      </c>
      <c r="J171" s="16">
        <v>10</v>
      </c>
      <c r="K171" s="6">
        <f t="shared" si="4"/>
        <v>9.1999999999999993</v>
      </c>
      <c r="L171" s="4" t="str">
        <f t="shared" si="5"/>
        <v>Normal</v>
      </c>
    </row>
    <row r="172" spans="1:12" ht="18" customHeight="1" x14ac:dyDescent="0.3">
      <c r="A172" s="1">
        <v>23034</v>
      </c>
      <c r="B172" s="1" t="str">
        <f>VLOOKUP( WeatherData[[#This Row],[Station Number]], 'Station Numbers'!A:B,2,FALSE)</f>
        <v xml:space="preserve">Adelaide Airport </v>
      </c>
      <c r="C172" s="1">
        <v>2020</v>
      </c>
      <c r="D172" s="1">
        <v>6</v>
      </c>
      <c r="E172" s="1">
        <v>19</v>
      </c>
      <c r="F172" s="2">
        <f>DATE(WeatherData[[#This Row],[Year]],WeatherData[[#This Row],[Month]],WeatherData[[#This Row],[Day]])</f>
        <v>44001</v>
      </c>
      <c r="G172" s="2" t="str">
        <f>TEXT(WeatherData[[#This Row],[Date]], "mmmm")</f>
        <v>June</v>
      </c>
      <c r="H172" s="16">
        <v>0</v>
      </c>
      <c r="I172" s="16">
        <v>15.9</v>
      </c>
      <c r="J172" s="16">
        <v>12.3</v>
      </c>
      <c r="K172" s="6">
        <f t="shared" si="4"/>
        <v>3.5999999999999996</v>
      </c>
      <c r="L172" s="4" t="str">
        <f t="shared" si="5"/>
        <v>Normal</v>
      </c>
    </row>
    <row r="173" spans="1:12" ht="18" customHeight="1" x14ac:dyDescent="0.3">
      <c r="A173" s="1">
        <v>23034</v>
      </c>
      <c r="B173" s="1" t="str">
        <f>VLOOKUP( WeatherData[[#This Row],[Station Number]], 'Station Numbers'!A:B,2,FALSE)</f>
        <v xml:space="preserve">Adelaide Airport </v>
      </c>
      <c r="C173" s="1">
        <v>2020</v>
      </c>
      <c r="D173" s="1">
        <v>6</v>
      </c>
      <c r="E173" s="1">
        <v>20</v>
      </c>
      <c r="F173" s="2">
        <f>DATE(WeatherData[[#This Row],[Year]],WeatherData[[#This Row],[Month]],WeatherData[[#This Row],[Day]])</f>
        <v>44002</v>
      </c>
      <c r="G173" s="2" t="str">
        <f>TEXT(WeatherData[[#This Row],[Date]], "mmmm")</f>
        <v>June</v>
      </c>
      <c r="H173" s="16">
        <v>1.6</v>
      </c>
      <c r="I173" s="16">
        <v>15.2</v>
      </c>
      <c r="J173" s="16">
        <v>10.4</v>
      </c>
      <c r="K173" s="6">
        <f t="shared" si="4"/>
        <v>4.7999999999999989</v>
      </c>
      <c r="L173" s="4" t="str">
        <f t="shared" si="5"/>
        <v>Normal</v>
      </c>
    </row>
    <row r="174" spans="1:12" ht="18" customHeight="1" x14ac:dyDescent="0.3">
      <c r="A174" s="1">
        <v>23034</v>
      </c>
      <c r="B174" s="1" t="str">
        <f>VLOOKUP( WeatherData[[#This Row],[Station Number]], 'Station Numbers'!A:B,2,FALSE)</f>
        <v xml:space="preserve">Adelaide Airport </v>
      </c>
      <c r="C174" s="1">
        <v>2020</v>
      </c>
      <c r="D174" s="1">
        <v>6</v>
      </c>
      <c r="E174" s="1">
        <v>21</v>
      </c>
      <c r="F174" s="2">
        <f>DATE(WeatherData[[#This Row],[Year]],WeatherData[[#This Row],[Month]],WeatherData[[#This Row],[Day]])</f>
        <v>44003</v>
      </c>
      <c r="G174" s="2" t="str">
        <f>TEXT(WeatherData[[#This Row],[Date]], "mmmm")</f>
        <v>June</v>
      </c>
      <c r="H174" s="16">
        <v>11.6</v>
      </c>
      <c r="I174" s="16">
        <v>14.5</v>
      </c>
      <c r="J174" s="16">
        <v>9.6999999999999993</v>
      </c>
      <c r="K174" s="6">
        <f t="shared" si="4"/>
        <v>4.8000000000000007</v>
      </c>
      <c r="L174" s="4" t="str">
        <f t="shared" si="5"/>
        <v>Normal</v>
      </c>
    </row>
    <row r="175" spans="1:12" ht="18" customHeight="1" x14ac:dyDescent="0.3">
      <c r="A175" s="1">
        <v>23034</v>
      </c>
      <c r="B175" s="1" t="str">
        <f>VLOOKUP( WeatherData[[#This Row],[Station Number]], 'Station Numbers'!A:B,2,FALSE)</f>
        <v xml:space="preserve">Adelaide Airport </v>
      </c>
      <c r="C175" s="1">
        <v>2020</v>
      </c>
      <c r="D175" s="1">
        <v>6</v>
      </c>
      <c r="E175" s="1">
        <v>22</v>
      </c>
      <c r="F175" s="2">
        <f>DATE(WeatherData[[#This Row],[Year]],WeatherData[[#This Row],[Month]],WeatherData[[#This Row],[Day]])</f>
        <v>44004</v>
      </c>
      <c r="G175" s="2" t="str">
        <f>TEXT(WeatherData[[#This Row],[Date]], "mmmm")</f>
        <v>June</v>
      </c>
      <c r="H175" s="16">
        <v>4</v>
      </c>
      <c r="I175" s="16">
        <v>14.9</v>
      </c>
      <c r="J175" s="16">
        <v>8.4</v>
      </c>
      <c r="K175" s="6">
        <f t="shared" si="4"/>
        <v>6.5</v>
      </c>
      <c r="L175" s="4" t="str">
        <f t="shared" si="5"/>
        <v>Normal</v>
      </c>
    </row>
    <row r="176" spans="1:12" ht="18" customHeight="1" x14ac:dyDescent="0.3">
      <c r="A176" s="1">
        <v>23034</v>
      </c>
      <c r="B176" s="1" t="str">
        <f>VLOOKUP( WeatherData[[#This Row],[Station Number]], 'Station Numbers'!A:B,2,FALSE)</f>
        <v xml:space="preserve">Adelaide Airport </v>
      </c>
      <c r="C176" s="1">
        <v>2020</v>
      </c>
      <c r="D176" s="1">
        <v>6</v>
      </c>
      <c r="E176" s="1">
        <v>23</v>
      </c>
      <c r="F176" s="2">
        <f>DATE(WeatherData[[#This Row],[Year]],WeatherData[[#This Row],[Month]],WeatherData[[#This Row],[Day]])</f>
        <v>44005</v>
      </c>
      <c r="G176" s="2" t="str">
        <f>TEXT(WeatherData[[#This Row],[Date]], "mmmm")</f>
        <v>June</v>
      </c>
      <c r="H176" s="16">
        <v>1.2</v>
      </c>
      <c r="I176" s="16">
        <v>13.9</v>
      </c>
      <c r="J176" s="16">
        <v>11.1</v>
      </c>
      <c r="K176" s="6">
        <f t="shared" si="4"/>
        <v>2.8000000000000007</v>
      </c>
      <c r="L176" s="4" t="str">
        <f t="shared" si="5"/>
        <v>Normal</v>
      </c>
    </row>
    <row r="177" spans="1:12" ht="18" customHeight="1" x14ac:dyDescent="0.3">
      <c r="A177" s="1">
        <v>23034</v>
      </c>
      <c r="B177" s="1" t="str">
        <f>VLOOKUP( WeatherData[[#This Row],[Station Number]], 'Station Numbers'!A:B,2,FALSE)</f>
        <v xml:space="preserve">Adelaide Airport </v>
      </c>
      <c r="C177" s="1">
        <v>2020</v>
      </c>
      <c r="D177" s="1">
        <v>6</v>
      </c>
      <c r="E177" s="1">
        <v>24</v>
      </c>
      <c r="F177" s="2">
        <f>DATE(WeatherData[[#This Row],[Year]],WeatherData[[#This Row],[Month]],WeatherData[[#This Row],[Day]])</f>
        <v>44006</v>
      </c>
      <c r="G177" s="2" t="str">
        <f>TEXT(WeatherData[[#This Row],[Date]], "mmmm")</f>
        <v>June</v>
      </c>
      <c r="H177" s="16">
        <v>1.2</v>
      </c>
      <c r="I177" s="16">
        <v>14.8</v>
      </c>
      <c r="J177" s="16">
        <v>10.9</v>
      </c>
      <c r="K177" s="6">
        <f t="shared" si="4"/>
        <v>3.9000000000000004</v>
      </c>
      <c r="L177" s="4" t="str">
        <f t="shared" si="5"/>
        <v>Normal</v>
      </c>
    </row>
    <row r="178" spans="1:12" ht="18" customHeight="1" x14ac:dyDescent="0.3">
      <c r="A178" s="1">
        <v>23034</v>
      </c>
      <c r="B178" s="1" t="str">
        <f>VLOOKUP( WeatherData[[#This Row],[Station Number]], 'Station Numbers'!A:B,2,FALSE)</f>
        <v xml:space="preserve">Adelaide Airport </v>
      </c>
      <c r="C178" s="1">
        <v>2020</v>
      </c>
      <c r="D178" s="1">
        <v>6</v>
      </c>
      <c r="E178" s="1">
        <v>25</v>
      </c>
      <c r="F178" s="2">
        <f>DATE(WeatherData[[#This Row],[Year]],WeatherData[[#This Row],[Month]],WeatherData[[#This Row],[Day]])</f>
        <v>44007</v>
      </c>
      <c r="G178" s="2" t="str">
        <f>TEXT(WeatherData[[#This Row],[Date]], "mmmm")</f>
        <v>June</v>
      </c>
      <c r="H178" s="16">
        <v>0</v>
      </c>
      <c r="I178" s="16">
        <v>16.600000000000001</v>
      </c>
      <c r="J178" s="16">
        <v>6.7</v>
      </c>
      <c r="K178" s="6">
        <f t="shared" si="4"/>
        <v>9.9000000000000021</v>
      </c>
      <c r="L178" s="4" t="str">
        <f t="shared" si="5"/>
        <v>Normal</v>
      </c>
    </row>
    <row r="179" spans="1:12" ht="18" customHeight="1" x14ac:dyDescent="0.3">
      <c r="A179" s="1">
        <v>23034</v>
      </c>
      <c r="B179" s="1" t="str">
        <f>VLOOKUP( WeatherData[[#This Row],[Station Number]], 'Station Numbers'!A:B,2,FALSE)</f>
        <v xml:space="preserve">Adelaide Airport </v>
      </c>
      <c r="C179" s="1">
        <v>2020</v>
      </c>
      <c r="D179" s="1">
        <v>6</v>
      </c>
      <c r="E179" s="1">
        <v>26</v>
      </c>
      <c r="F179" s="2">
        <f>DATE(WeatherData[[#This Row],[Year]],WeatherData[[#This Row],[Month]],WeatherData[[#This Row],[Day]])</f>
        <v>44008</v>
      </c>
      <c r="G179" s="2" t="str">
        <f>TEXT(WeatherData[[#This Row],[Date]], "mmmm")</f>
        <v>June</v>
      </c>
      <c r="H179" s="16">
        <v>0.8</v>
      </c>
      <c r="I179" s="16">
        <v>15.5</v>
      </c>
      <c r="J179" s="16">
        <v>7.4</v>
      </c>
      <c r="K179" s="6">
        <f t="shared" si="4"/>
        <v>8.1</v>
      </c>
      <c r="L179" s="4" t="str">
        <f t="shared" si="5"/>
        <v>Normal</v>
      </c>
    </row>
    <row r="180" spans="1:12" ht="18" customHeight="1" x14ac:dyDescent="0.3">
      <c r="A180" s="1">
        <v>23034</v>
      </c>
      <c r="B180" s="1" t="str">
        <f>VLOOKUP( WeatherData[[#This Row],[Station Number]], 'Station Numbers'!A:B,2,FALSE)</f>
        <v xml:space="preserve">Adelaide Airport </v>
      </c>
      <c r="C180" s="1">
        <v>2020</v>
      </c>
      <c r="D180" s="1">
        <v>6</v>
      </c>
      <c r="E180" s="1">
        <v>27</v>
      </c>
      <c r="F180" s="2">
        <f>DATE(WeatherData[[#This Row],[Year]],WeatherData[[#This Row],[Month]],WeatherData[[#This Row],[Day]])</f>
        <v>44009</v>
      </c>
      <c r="G180" s="2" t="str">
        <f>TEXT(WeatherData[[#This Row],[Date]], "mmmm")</f>
        <v>June</v>
      </c>
      <c r="H180" s="16">
        <v>0</v>
      </c>
      <c r="I180" s="16">
        <v>16.8</v>
      </c>
      <c r="J180" s="16">
        <v>4</v>
      </c>
      <c r="K180" s="6">
        <f t="shared" si="4"/>
        <v>12.8</v>
      </c>
      <c r="L180" s="4" t="str">
        <f t="shared" si="5"/>
        <v>Normal</v>
      </c>
    </row>
    <row r="181" spans="1:12" ht="18" customHeight="1" x14ac:dyDescent="0.3">
      <c r="A181" s="1">
        <v>23034</v>
      </c>
      <c r="B181" s="1" t="str">
        <f>VLOOKUP( WeatherData[[#This Row],[Station Number]], 'Station Numbers'!A:B,2,FALSE)</f>
        <v xml:space="preserve">Adelaide Airport </v>
      </c>
      <c r="C181" s="1">
        <v>2020</v>
      </c>
      <c r="D181" s="1">
        <v>6</v>
      </c>
      <c r="E181" s="1">
        <v>28</v>
      </c>
      <c r="F181" s="2">
        <f>DATE(WeatherData[[#This Row],[Year]],WeatherData[[#This Row],[Month]],WeatherData[[#This Row],[Day]])</f>
        <v>44010</v>
      </c>
      <c r="G181" s="2" t="str">
        <f>TEXT(WeatherData[[#This Row],[Date]], "mmmm")</f>
        <v>June</v>
      </c>
      <c r="H181" s="16">
        <v>0</v>
      </c>
      <c r="I181" s="16">
        <v>16.5</v>
      </c>
      <c r="J181" s="16">
        <v>3.5</v>
      </c>
      <c r="K181" s="6">
        <f t="shared" si="4"/>
        <v>13</v>
      </c>
      <c r="L181" s="4" t="str">
        <f t="shared" si="5"/>
        <v>Normal</v>
      </c>
    </row>
    <row r="182" spans="1:12" ht="18" customHeight="1" x14ac:dyDescent="0.3">
      <c r="A182" s="1">
        <v>23034</v>
      </c>
      <c r="B182" s="1" t="str">
        <f>VLOOKUP( WeatherData[[#This Row],[Station Number]], 'Station Numbers'!A:B,2,FALSE)</f>
        <v xml:space="preserve">Adelaide Airport </v>
      </c>
      <c r="C182" s="1">
        <v>2020</v>
      </c>
      <c r="D182" s="1">
        <v>6</v>
      </c>
      <c r="E182" s="1">
        <v>29</v>
      </c>
      <c r="F182" s="2">
        <f>DATE(WeatherData[[#This Row],[Year]],WeatherData[[#This Row],[Month]],WeatherData[[#This Row],[Day]])</f>
        <v>44011</v>
      </c>
      <c r="G182" s="2" t="str">
        <f>TEXT(WeatherData[[#This Row],[Date]], "mmmm")</f>
        <v>June</v>
      </c>
      <c r="H182" s="16">
        <v>0</v>
      </c>
      <c r="I182" s="16">
        <v>14.6</v>
      </c>
      <c r="J182" s="16">
        <v>2.6</v>
      </c>
      <c r="K182" s="6">
        <f t="shared" si="4"/>
        <v>12</v>
      </c>
      <c r="L182" s="4" t="str">
        <f t="shared" si="5"/>
        <v>Normal</v>
      </c>
    </row>
    <row r="183" spans="1:12" ht="18" customHeight="1" x14ac:dyDescent="0.3">
      <c r="A183" s="1">
        <v>23034</v>
      </c>
      <c r="B183" s="1" t="str">
        <f>VLOOKUP( WeatherData[[#This Row],[Station Number]], 'Station Numbers'!A:B,2,FALSE)</f>
        <v xml:space="preserve">Adelaide Airport </v>
      </c>
      <c r="C183" s="1">
        <v>2020</v>
      </c>
      <c r="D183" s="1">
        <v>6</v>
      </c>
      <c r="E183" s="1">
        <v>30</v>
      </c>
      <c r="F183" s="2">
        <f>DATE(WeatherData[[#This Row],[Year]],WeatherData[[#This Row],[Month]],WeatherData[[#This Row],[Day]])</f>
        <v>44012</v>
      </c>
      <c r="G183" s="2" t="str">
        <f>TEXT(WeatherData[[#This Row],[Date]], "mmmm")</f>
        <v>June</v>
      </c>
      <c r="H183" s="16">
        <v>0</v>
      </c>
      <c r="I183" s="16">
        <v>15.7</v>
      </c>
      <c r="J183" s="16">
        <v>8.1</v>
      </c>
      <c r="K183" s="6">
        <f t="shared" si="4"/>
        <v>7.6</v>
      </c>
      <c r="L183" s="4" t="str">
        <f t="shared" si="5"/>
        <v>Normal</v>
      </c>
    </row>
    <row r="184" spans="1:12" ht="18" customHeight="1" x14ac:dyDescent="0.3">
      <c r="A184" s="1">
        <v>23034</v>
      </c>
      <c r="B184" s="1" t="str">
        <f>VLOOKUP( WeatherData[[#This Row],[Station Number]], 'Station Numbers'!A:B,2,FALSE)</f>
        <v xml:space="preserve">Adelaide Airport </v>
      </c>
      <c r="C184" s="1">
        <v>2020</v>
      </c>
      <c r="D184" s="1">
        <v>7</v>
      </c>
      <c r="E184" s="1">
        <v>1</v>
      </c>
      <c r="F184" s="2">
        <f>DATE(WeatherData[[#This Row],[Year]],WeatherData[[#This Row],[Month]],WeatherData[[#This Row],[Day]])</f>
        <v>44013</v>
      </c>
      <c r="G184" s="2" t="str">
        <f>TEXT(WeatherData[[#This Row],[Date]], "mmmm")</f>
        <v>July</v>
      </c>
      <c r="H184" s="16">
        <v>0</v>
      </c>
      <c r="I184" s="16">
        <v>19.7</v>
      </c>
      <c r="J184" s="16">
        <v>8.1</v>
      </c>
      <c r="K184" s="6">
        <f t="shared" si="4"/>
        <v>11.6</v>
      </c>
      <c r="L184" s="4" t="str">
        <f t="shared" si="5"/>
        <v>Normal</v>
      </c>
    </row>
    <row r="185" spans="1:12" ht="18" customHeight="1" x14ac:dyDescent="0.3">
      <c r="A185" s="1">
        <v>23034</v>
      </c>
      <c r="B185" s="1" t="str">
        <f>VLOOKUP( WeatherData[[#This Row],[Station Number]], 'Station Numbers'!A:B,2,FALSE)</f>
        <v xml:space="preserve">Adelaide Airport </v>
      </c>
      <c r="C185" s="1">
        <v>2020</v>
      </c>
      <c r="D185" s="1">
        <v>7</v>
      </c>
      <c r="E185" s="1">
        <v>2</v>
      </c>
      <c r="F185" s="2">
        <f>DATE(WeatherData[[#This Row],[Year]],WeatherData[[#This Row],[Month]],WeatherData[[#This Row],[Day]])</f>
        <v>44014</v>
      </c>
      <c r="G185" s="2" t="str">
        <f>TEXT(WeatherData[[#This Row],[Date]], "mmmm")</f>
        <v>July</v>
      </c>
      <c r="H185" s="16">
        <v>4.5999999999999996</v>
      </c>
      <c r="I185" s="16">
        <v>14</v>
      </c>
      <c r="J185" s="16">
        <v>10.5</v>
      </c>
      <c r="K185" s="6">
        <f t="shared" si="4"/>
        <v>3.5</v>
      </c>
      <c r="L185" s="4" t="str">
        <f t="shared" si="5"/>
        <v>Normal</v>
      </c>
    </row>
    <row r="186" spans="1:12" ht="18" customHeight="1" x14ac:dyDescent="0.3">
      <c r="A186" s="1">
        <v>23034</v>
      </c>
      <c r="B186" s="1" t="str">
        <f>VLOOKUP( WeatherData[[#This Row],[Station Number]], 'Station Numbers'!A:B,2,FALSE)</f>
        <v xml:space="preserve">Adelaide Airport </v>
      </c>
      <c r="C186" s="1">
        <v>2020</v>
      </c>
      <c r="D186" s="1">
        <v>7</v>
      </c>
      <c r="E186" s="1">
        <v>3</v>
      </c>
      <c r="F186" s="2">
        <f>DATE(WeatherData[[#This Row],[Year]],WeatherData[[#This Row],[Month]],WeatherData[[#This Row],[Day]])</f>
        <v>44015</v>
      </c>
      <c r="G186" s="2" t="str">
        <f>TEXT(WeatherData[[#This Row],[Date]], "mmmm")</f>
        <v>July</v>
      </c>
      <c r="H186" s="16">
        <v>2</v>
      </c>
      <c r="I186" s="16">
        <v>14</v>
      </c>
      <c r="J186" s="16">
        <v>10.8</v>
      </c>
      <c r="K186" s="6">
        <f t="shared" si="4"/>
        <v>3.1999999999999993</v>
      </c>
      <c r="L186" s="4" t="str">
        <f t="shared" si="5"/>
        <v>Normal</v>
      </c>
    </row>
    <row r="187" spans="1:12" ht="18" customHeight="1" x14ac:dyDescent="0.3">
      <c r="A187" s="1">
        <v>23034</v>
      </c>
      <c r="B187" s="1" t="str">
        <f>VLOOKUP( WeatherData[[#This Row],[Station Number]], 'Station Numbers'!A:B,2,FALSE)</f>
        <v xml:space="preserve">Adelaide Airport </v>
      </c>
      <c r="C187" s="1">
        <v>2020</v>
      </c>
      <c r="D187" s="1">
        <v>7</v>
      </c>
      <c r="E187" s="1">
        <v>4</v>
      </c>
      <c r="F187" s="2">
        <f>DATE(WeatherData[[#This Row],[Year]],WeatherData[[#This Row],[Month]],WeatherData[[#This Row],[Day]])</f>
        <v>44016</v>
      </c>
      <c r="G187" s="2" t="str">
        <f>TEXT(WeatherData[[#This Row],[Date]], "mmmm")</f>
        <v>July</v>
      </c>
      <c r="H187" s="16">
        <v>0.8</v>
      </c>
      <c r="I187" s="16">
        <v>14.7</v>
      </c>
      <c r="J187" s="16">
        <v>8.9</v>
      </c>
      <c r="K187" s="6">
        <f t="shared" si="4"/>
        <v>5.7999999999999989</v>
      </c>
      <c r="L187" s="4" t="str">
        <f t="shared" si="5"/>
        <v>Normal</v>
      </c>
    </row>
    <row r="188" spans="1:12" ht="18" customHeight="1" x14ac:dyDescent="0.3">
      <c r="A188" s="1">
        <v>23034</v>
      </c>
      <c r="B188" s="1" t="str">
        <f>VLOOKUP( WeatherData[[#This Row],[Station Number]], 'Station Numbers'!A:B,2,FALSE)</f>
        <v xml:space="preserve">Adelaide Airport </v>
      </c>
      <c r="C188" s="1">
        <v>2020</v>
      </c>
      <c r="D188" s="1">
        <v>7</v>
      </c>
      <c r="E188" s="1">
        <v>5</v>
      </c>
      <c r="F188" s="2">
        <f>DATE(WeatherData[[#This Row],[Year]],WeatherData[[#This Row],[Month]],WeatherData[[#This Row],[Day]])</f>
        <v>44017</v>
      </c>
      <c r="G188" s="2" t="str">
        <f>TEXT(WeatherData[[#This Row],[Date]], "mmmm")</f>
        <v>July</v>
      </c>
      <c r="H188" s="16">
        <v>0</v>
      </c>
      <c r="I188" s="16">
        <v>14.8</v>
      </c>
      <c r="J188" s="16">
        <v>9.1999999999999993</v>
      </c>
      <c r="K188" s="6">
        <f t="shared" si="4"/>
        <v>5.6000000000000014</v>
      </c>
      <c r="L188" s="4" t="str">
        <f t="shared" si="5"/>
        <v>Normal</v>
      </c>
    </row>
    <row r="189" spans="1:12" ht="18" customHeight="1" x14ac:dyDescent="0.3">
      <c r="A189" s="1">
        <v>23034</v>
      </c>
      <c r="B189" s="1" t="str">
        <f>VLOOKUP( WeatherData[[#This Row],[Station Number]], 'Station Numbers'!A:B,2,FALSE)</f>
        <v xml:space="preserve">Adelaide Airport </v>
      </c>
      <c r="C189" s="1">
        <v>2020</v>
      </c>
      <c r="D189" s="1">
        <v>7</v>
      </c>
      <c r="E189" s="1">
        <v>6</v>
      </c>
      <c r="F189" s="2">
        <f>DATE(WeatherData[[#This Row],[Year]],WeatherData[[#This Row],[Month]],WeatherData[[#This Row],[Day]])</f>
        <v>44018</v>
      </c>
      <c r="G189" s="2" t="str">
        <f>TEXT(WeatherData[[#This Row],[Date]], "mmmm")</f>
        <v>July</v>
      </c>
      <c r="H189" s="16">
        <v>0</v>
      </c>
      <c r="I189" s="16">
        <v>15</v>
      </c>
      <c r="J189" s="16">
        <v>9</v>
      </c>
      <c r="K189" s="6">
        <f t="shared" si="4"/>
        <v>6</v>
      </c>
      <c r="L189" s="4" t="str">
        <f t="shared" si="5"/>
        <v>Normal</v>
      </c>
    </row>
    <row r="190" spans="1:12" ht="18" customHeight="1" x14ac:dyDescent="0.3">
      <c r="A190" s="1">
        <v>23034</v>
      </c>
      <c r="B190" s="1" t="str">
        <f>VLOOKUP( WeatherData[[#This Row],[Station Number]], 'Station Numbers'!A:B,2,FALSE)</f>
        <v xml:space="preserve">Adelaide Airport </v>
      </c>
      <c r="C190" s="1">
        <v>2020</v>
      </c>
      <c r="D190" s="1">
        <v>7</v>
      </c>
      <c r="E190" s="1">
        <v>7</v>
      </c>
      <c r="F190" s="2">
        <f>DATE(WeatherData[[#This Row],[Year]],WeatherData[[#This Row],[Month]],WeatherData[[#This Row],[Day]])</f>
        <v>44019</v>
      </c>
      <c r="G190" s="2" t="str">
        <f>TEXT(WeatherData[[#This Row],[Date]], "mmmm")</f>
        <v>July</v>
      </c>
      <c r="H190" s="16">
        <v>0</v>
      </c>
      <c r="I190" s="16">
        <v>12.3</v>
      </c>
      <c r="J190" s="16">
        <v>7.2</v>
      </c>
      <c r="K190" s="6">
        <f t="shared" si="4"/>
        <v>5.1000000000000005</v>
      </c>
      <c r="L190" s="4" t="str">
        <f t="shared" si="5"/>
        <v>Normal</v>
      </c>
    </row>
    <row r="191" spans="1:12" ht="18" customHeight="1" x14ac:dyDescent="0.3">
      <c r="A191" s="1">
        <v>23034</v>
      </c>
      <c r="B191" s="1" t="str">
        <f>VLOOKUP( WeatherData[[#This Row],[Station Number]], 'Station Numbers'!A:B,2,FALSE)</f>
        <v xml:space="preserve">Adelaide Airport </v>
      </c>
      <c r="C191" s="1">
        <v>2020</v>
      </c>
      <c r="D191" s="1">
        <v>7</v>
      </c>
      <c r="E191" s="1">
        <v>8</v>
      </c>
      <c r="F191" s="2">
        <f>DATE(WeatherData[[#This Row],[Year]],WeatherData[[#This Row],[Month]],WeatherData[[#This Row],[Day]])</f>
        <v>44020</v>
      </c>
      <c r="G191" s="2" t="str">
        <f>TEXT(WeatherData[[#This Row],[Date]], "mmmm")</f>
        <v>July</v>
      </c>
      <c r="H191" s="16">
        <v>0</v>
      </c>
      <c r="I191" s="16">
        <v>14.9</v>
      </c>
      <c r="J191" s="16">
        <v>4.3</v>
      </c>
      <c r="K191" s="6">
        <f t="shared" si="4"/>
        <v>10.600000000000001</v>
      </c>
      <c r="L191" s="4" t="str">
        <f t="shared" si="5"/>
        <v>Normal</v>
      </c>
    </row>
    <row r="192" spans="1:12" ht="18" customHeight="1" x14ac:dyDescent="0.3">
      <c r="A192" s="1">
        <v>23034</v>
      </c>
      <c r="B192" s="1" t="str">
        <f>VLOOKUP( WeatherData[[#This Row],[Station Number]], 'Station Numbers'!A:B,2,FALSE)</f>
        <v xml:space="preserve">Adelaide Airport </v>
      </c>
      <c r="C192" s="1">
        <v>2020</v>
      </c>
      <c r="D192" s="1">
        <v>7</v>
      </c>
      <c r="E192" s="1">
        <v>9</v>
      </c>
      <c r="F192" s="2">
        <f>DATE(WeatherData[[#This Row],[Year]],WeatherData[[#This Row],[Month]],WeatherData[[#This Row],[Day]])</f>
        <v>44021</v>
      </c>
      <c r="G192" s="2" t="str">
        <f>TEXT(WeatherData[[#This Row],[Date]], "mmmm")</f>
        <v>July</v>
      </c>
      <c r="H192" s="16">
        <v>0</v>
      </c>
      <c r="I192" s="16">
        <v>15.6</v>
      </c>
      <c r="J192" s="16">
        <v>4.8</v>
      </c>
      <c r="K192" s="6">
        <f t="shared" si="4"/>
        <v>10.8</v>
      </c>
      <c r="L192" s="4" t="str">
        <f t="shared" si="5"/>
        <v>Normal</v>
      </c>
    </row>
    <row r="193" spans="1:12" ht="18" customHeight="1" x14ac:dyDescent="0.3">
      <c r="A193" s="1">
        <v>23034</v>
      </c>
      <c r="B193" s="1" t="str">
        <f>VLOOKUP( WeatherData[[#This Row],[Station Number]], 'Station Numbers'!A:B,2,FALSE)</f>
        <v xml:space="preserve">Adelaide Airport </v>
      </c>
      <c r="C193" s="1">
        <v>2020</v>
      </c>
      <c r="D193" s="1">
        <v>7</v>
      </c>
      <c r="E193" s="1">
        <v>10</v>
      </c>
      <c r="F193" s="2">
        <f>DATE(WeatherData[[#This Row],[Year]],WeatherData[[#This Row],[Month]],WeatherData[[#This Row],[Day]])</f>
        <v>44022</v>
      </c>
      <c r="G193" s="2" t="str">
        <f>TEXT(WeatherData[[#This Row],[Date]], "mmmm")</f>
        <v>July</v>
      </c>
      <c r="H193" s="16">
        <v>0.2</v>
      </c>
      <c r="I193" s="16">
        <v>15.6</v>
      </c>
      <c r="J193" s="16">
        <v>8.3000000000000007</v>
      </c>
      <c r="K193" s="6">
        <f t="shared" si="4"/>
        <v>7.2999999999999989</v>
      </c>
      <c r="L193" s="4" t="str">
        <f t="shared" si="5"/>
        <v>Normal</v>
      </c>
    </row>
    <row r="194" spans="1:12" ht="18" customHeight="1" x14ac:dyDescent="0.3">
      <c r="A194" s="1">
        <v>23034</v>
      </c>
      <c r="B194" s="1" t="str">
        <f>VLOOKUP( WeatherData[[#This Row],[Station Number]], 'Station Numbers'!A:B,2,FALSE)</f>
        <v xml:space="preserve">Adelaide Airport </v>
      </c>
      <c r="C194" s="1">
        <v>2020</v>
      </c>
      <c r="D194" s="1">
        <v>7</v>
      </c>
      <c r="E194" s="1">
        <v>11</v>
      </c>
      <c r="F194" s="2">
        <f>DATE(WeatherData[[#This Row],[Year]],WeatherData[[#This Row],[Month]],WeatherData[[#This Row],[Day]])</f>
        <v>44023</v>
      </c>
      <c r="G194" s="2" t="str">
        <f>TEXT(WeatherData[[#This Row],[Date]], "mmmm")</f>
        <v>July</v>
      </c>
      <c r="H194" s="16">
        <v>2.8</v>
      </c>
      <c r="I194" s="16">
        <v>13.6</v>
      </c>
      <c r="J194" s="16">
        <v>8.1</v>
      </c>
      <c r="K194" s="6">
        <f t="shared" ref="K194:K257" si="6">I194-J194</f>
        <v>5.5</v>
      </c>
      <c r="L194" s="4" t="str">
        <f t="shared" ref="L194:L257" si="7">IF(AND(I194&gt;35, H194&gt;20), "Heatwave + Rain",
   IF(I194&gt;35, "Heatwave",
   IF(H194&gt;20, "Heavy Rain",
   IF(I194&lt;10, "Cold",
   "Normal"))))</f>
        <v>Normal</v>
      </c>
    </row>
    <row r="195" spans="1:12" ht="18" customHeight="1" x14ac:dyDescent="0.3">
      <c r="A195" s="1">
        <v>23034</v>
      </c>
      <c r="B195" s="1" t="str">
        <f>VLOOKUP( WeatherData[[#This Row],[Station Number]], 'Station Numbers'!A:B,2,FALSE)</f>
        <v xml:space="preserve">Adelaide Airport </v>
      </c>
      <c r="C195" s="1">
        <v>2020</v>
      </c>
      <c r="D195" s="1">
        <v>7</v>
      </c>
      <c r="E195" s="1">
        <v>12</v>
      </c>
      <c r="F195" s="2">
        <f>DATE(WeatherData[[#This Row],[Year]],WeatherData[[#This Row],[Month]],WeatherData[[#This Row],[Day]])</f>
        <v>44024</v>
      </c>
      <c r="G195" s="2" t="str">
        <f>TEXT(WeatherData[[#This Row],[Date]], "mmmm")</f>
        <v>July</v>
      </c>
      <c r="H195" s="16">
        <v>1.2</v>
      </c>
      <c r="I195" s="16">
        <v>16.399999999999999</v>
      </c>
      <c r="J195" s="16">
        <v>6.6</v>
      </c>
      <c r="K195" s="6">
        <f t="shared" si="6"/>
        <v>9.7999999999999989</v>
      </c>
      <c r="L195" s="4" t="str">
        <f t="shared" si="7"/>
        <v>Normal</v>
      </c>
    </row>
    <row r="196" spans="1:12" ht="18" customHeight="1" x14ac:dyDescent="0.3">
      <c r="A196" s="1">
        <v>23034</v>
      </c>
      <c r="B196" s="1" t="str">
        <f>VLOOKUP( WeatherData[[#This Row],[Station Number]], 'Station Numbers'!A:B,2,FALSE)</f>
        <v xml:space="preserve">Adelaide Airport </v>
      </c>
      <c r="C196" s="1">
        <v>2020</v>
      </c>
      <c r="D196" s="1">
        <v>7</v>
      </c>
      <c r="E196" s="1">
        <v>13</v>
      </c>
      <c r="F196" s="2">
        <f>DATE(WeatherData[[#This Row],[Year]],WeatherData[[#This Row],[Month]],WeatherData[[#This Row],[Day]])</f>
        <v>44025</v>
      </c>
      <c r="G196" s="2" t="str">
        <f>TEXT(WeatherData[[#This Row],[Date]], "mmmm")</f>
        <v>July</v>
      </c>
      <c r="H196" s="16">
        <v>0</v>
      </c>
      <c r="I196" s="16">
        <v>13</v>
      </c>
      <c r="J196" s="16">
        <v>3.7</v>
      </c>
      <c r="K196" s="6">
        <f t="shared" si="6"/>
        <v>9.3000000000000007</v>
      </c>
      <c r="L196" s="4" t="str">
        <f t="shared" si="7"/>
        <v>Normal</v>
      </c>
    </row>
    <row r="197" spans="1:12" ht="18" customHeight="1" x14ac:dyDescent="0.3">
      <c r="A197" s="1">
        <v>23034</v>
      </c>
      <c r="B197" s="1" t="str">
        <f>VLOOKUP( WeatherData[[#This Row],[Station Number]], 'Station Numbers'!A:B,2,FALSE)</f>
        <v xml:space="preserve">Adelaide Airport </v>
      </c>
      <c r="C197" s="1">
        <v>2020</v>
      </c>
      <c r="D197" s="1">
        <v>7</v>
      </c>
      <c r="E197" s="1">
        <v>14</v>
      </c>
      <c r="F197" s="2">
        <f>DATE(WeatherData[[#This Row],[Year]],WeatherData[[#This Row],[Month]],WeatherData[[#This Row],[Day]])</f>
        <v>44026</v>
      </c>
      <c r="G197" s="2" t="str">
        <f>TEXT(WeatherData[[#This Row],[Date]], "mmmm")</f>
        <v>July</v>
      </c>
      <c r="H197" s="16">
        <v>0.2</v>
      </c>
      <c r="I197" s="16">
        <v>9.9</v>
      </c>
      <c r="J197" s="16">
        <v>2.9</v>
      </c>
      <c r="K197" s="6">
        <f t="shared" si="6"/>
        <v>7</v>
      </c>
      <c r="L197" s="4" t="str">
        <f t="shared" si="7"/>
        <v>Cold</v>
      </c>
    </row>
    <row r="198" spans="1:12" ht="18" customHeight="1" x14ac:dyDescent="0.3">
      <c r="A198" s="1">
        <v>23034</v>
      </c>
      <c r="B198" s="1" t="str">
        <f>VLOOKUP( WeatherData[[#This Row],[Station Number]], 'Station Numbers'!A:B,2,FALSE)</f>
        <v xml:space="preserve">Adelaide Airport </v>
      </c>
      <c r="C198" s="1">
        <v>2020</v>
      </c>
      <c r="D198" s="1">
        <v>7</v>
      </c>
      <c r="E198" s="1">
        <v>15</v>
      </c>
      <c r="F198" s="2">
        <f>DATE(WeatherData[[#This Row],[Year]],WeatherData[[#This Row],[Month]],WeatherData[[#This Row],[Day]])</f>
        <v>44027</v>
      </c>
      <c r="G198" s="2" t="str">
        <f>TEXT(WeatherData[[#This Row],[Date]], "mmmm")</f>
        <v>July</v>
      </c>
      <c r="H198" s="16">
        <v>0.2</v>
      </c>
      <c r="I198" s="16">
        <v>16.600000000000001</v>
      </c>
      <c r="J198" s="16">
        <v>2.2000000000000002</v>
      </c>
      <c r="K198" s="6">
        <f t="shared" si="6"/>
        <v>14.400000000000002</v>
      </c>
      <c r="L198" s="4" t="str">
        <f t="shared" si="7"/>
        <v>Normal</v>
      </c>
    </row>
    <row r="199" spans="1:12" ht="18" customHeight="1" x14ac:dyDescent="0.3">
      <c r="A199" s="1">
        <v>23034</v>
      </c>
      <c r="B199" s="1" t="str">
        <f>VLOOKUP( WeatherData[[#This Row],[Station Number]], 'Station Numbers'!A:B,2,FALSE)</f>
        <v xml:space="preserve">Adelaide Airport </v>
      </c>
      <c r="C199" s="1">
        <v>2020</v>
      </c>
      <c r="D199" s="1">
        <v>7</v>
      </c>
      <c r="E199" s="1">
        <v>16</v>
      </c>
      <c r="F199" s="2">
        <f>DATE(WeatherData[[#This Row],[Year]],WeatherData[[#This Row],[Month]],WeatherData[[#This Row],[Day]])</f>
        <v>44028</v>
      </c>
      <c r="G199" s="2" t="str">
        <f>TEXT(WeatherData[[#This Row],[Date]], "mmmm")</f>
        <v>July</v>
      </c>
      <c r="H199" s="16">
        <v>0</v>
      </c>
      <c r="I199" s="16">
        <v>15.5</v>
      </c>
      <c r="J199" s="16">
        <v>4</v>
      </c>
      <c r="K199" s="6">
        <f t="shared" si="6"/>
        <v>11.5</v>
      </c>
      <c r="L199" s="4" t="str">
        <f t="shared" si="7"/>
        <v>Normal</v>
      </c>
    </row>
    <row r="200" spans="1:12" ht="18" customHeight="1" x14ac:dyDescent="0.3">
      <c r="A200" s="1">
        <v>23034</v>
      </c>
      <c r="B200" s="1" t="str">
        <f>VLOOKUP( WeatherData[[#This Row],[Station Number]], 'Station Numbers'!A:B,2,FALSE)</f>
        <v xml:space="preserve">Adelaide Airport </v>
      </c>
      <c r="C200" s="1">
        <v>2020</v>
      </c>
      <c r="D200" s="1">
        <v>7</v>
      </c>
      <c r="E200" s="1">
        <v>17</v>
      </c>
      <c r="F200" s="2">
        <f>DATE(WeatherData[[#This Row],[Year]],WeatherData[[#This Row],[Month]],WeatherData[[#This Row],[Day]])</f>
        <v>44029</v>
      </c>
      <c r="G200" s="2" t="str">
        <f>TEXT(WeatherData[[#This Row],[Date]], "mmmm")</f>
        <v>July</v>
      </c>
      <c r="H200" s="16">
        <v>0</v>
      </c>
      <c r="I200" s="16">
        <v>19.5</v>
      </c>
      <c r="J200" s="16">
        <v>3.8</v>
      </c>
      <c r="K200" s="6">
        <f t="shared" si="6"/>
        <v>15.7</v>
      </c>
      <c r="L200" s="4" t="str">
        <f t="shared" si="7"/>
        <v>Normal</v>
      </c>
    </row>
    <row r="201" spans="1:12" ht="18" customHeight="1" x14ac:dyDescent="0.3">
      <c r="A201" s="1">
        <v>23034</v>
      </c>
      <c r="B201" s="1" t="str">
        <f>VLOOKUP( WeatherData[[#This Row],[Station Number]], 'Station Numbers'!A:B,2,FALSE)</f>
        <v xml:space="preserve">Adelaide Airport </v>
      </c>
      <c r="C201" s="1">
        <v>2020</v>
      </c>
      <c r="D201" s="1">
        <v>7</v>
      </c>
      <c r="E201" s="1">
        <v>18</v>
      </c>
      <c r="F201" s="2">
        <f>DATE(WeatherData[[#This Row],[Year]],WeatherData[[#This Row],[Month]],WeatherData[[#This Row],[Day]])</f>
        <v>44030</v>
      </c>
      <c r="G201" s="2" t="str">
        <f>TEXT(WeatherData[[#This Row],[Date]], "mmmm")</f>
        <v>July</v>
      </c>
      <c r="H201" s="16">
        <v>0</v>
      </c>
      <c r="I201" s="16">
        <v>16.5</v>
      </c>
      <c r="J201" s="16">
        <v>8.6</v>
      </c>
      <c r="K201" s="6">
        <f t="shared" si="6"/>
        <v>7.9</v>
      </c>
      <c r="L201" s="4" t="str">
        <f t="shared" si="7"/>
        <v>Normal</v>
      </c>
    </row>
    <row r="202" spans="1:12" ht="18" customHeight="1" x14ac:dyDescent="0.3">
      <c r="A202" s="1">
        <v>23034</v>
      </c>
      <c r="B202" s="1" t="str">
        <f>VLOOKUP( WeatherData[[#This Row],[Station Number]], 'Station Numbers'!A:B,2,FALSE)</f>
        <v xml:space="preserve">Adelaide Airport </v>
      </c>
      <c r="C202" s="1">
        <v>2020</v>
      </c>
      <c r="D202" s="1">
        <v>7</v>
      </c>
      <c r="E202" s="1">
        <v>19</v>
      </c>
      <c r="F202" s="2">
        <f>DATE(WeatherData[[#This Row],[Year]],WeatherData[[#This Row],[Month]],WeatherData[[#This Row],[Day]])</f>
        <v>44031</v>
      </c>
      <c r="G202" s="2" t="str">
        <f>TEXT(WeatherData[[#This Row],[Date]], "mmmm")</f>
        <v>July</v>
      </c>
      <c r="H202" s="16">
        <v>2.2000000000000002</v>
      </c>
      <c r="I202" s="16">
        <v>15</v>
      </c>
      <c r="J202" s="16">
        <v>8.1999999999999993</v>
      </c>
      <c r="K202" s="6">
        <f t="shared" si="6"/>
        <v>6.8000000000000007</v>
      </c>
      <c r="L202" s="4" t="str">
        <f t="shared" si="7"/>
        <v>Normal</v>
      </c>
    </row>
    <row r="203" spans="1:12" ht="18" customHeight="1" x14ac:dyDescent="0.3">
      <c r="A203" s="1">
        <v>23034</v>
      </c>
      <c r="B203" s="1" t="str">
        <f>VLOOKUP( WeatherData[[#This Row],[Station Number]], 'Station Numbers'!A:B,2,FALSE)</f>
        <v xml:space="preserve">Adelaide Airport </v>
      </c>
      <c r="C203" s="1">
        <v>2020</v>
      </c>
      <c r="D203" s="1">
        <v>7</v>
      </c>
      <c r="E203" s="1">
        <v>20</v>
      </c>
      <c r="F203" s="2">
        <f>DATE(WeatherData[[#This Row],[Year]],WeatherData[[#This Row],[Month]],WeatherData[[#This Row],[Day]])</f>
        <v>44032</v>
      </c>
      <c r="G203" s="2" t="str">
        <f>TEXT(WeatherData[[#This Row],[Date]], "mmmm")</f>
        <v>July</v>
      </c>
      <c r="H203" s="16">
        <v>0.2</v>
      </c>
      <c r="I203" s="16">
        <v>13.9</v>
      </c>
      <c r="J203" s="16">
        <v>5.0999999999999996</v>
      </c>
      <c r="K203" s="6">
        <f t="shared" si="6"/>
        <v>8.8000000000000007</v>
      </c>
      <c r="L203" s="4" t="str">
        <f t="shared" si="7"/>
        <v>Normal</v>
      </c>
    </row>
    <row r="204" spans="1:12" ht="18" customHeight="1" x14ac:dyDescent="0.3">
      <c r="A204" s="1">
        <v>23034</v>
      </c>
      <c r="B204" s="1" t="str">
        <f>VLOOKUP( WeatherData[[#This Row],[Station Number]], 'Station Numbers'!A:B,2,FALSE)</f>
        <v xml:space="preserve">Adelaide Airport </v>
      </c>
      <c r="C204" s="1">
        <v>2020</v>
      </c>
      <c r="D204" s="1">
        <v>7</v>
      </c>
      <c r="E204" s="1">
        <v>21</v>
      </c>
      <c r="F204" s="2">
        <f>DATE(WeatherData[[#This Row],[Year]],WeatherData[[#This Row],[Month]],WeatherData[[#This Row],[Day]])</f>
        <v>44033</v>
      </c>
      <c r="G204" s="2" t="str">
        <f>TEXT(WeatherData[[#This Row],[Date]], "mmmm")</f>
        <v>July</v>
      </c>
      <c r="H204" s="16">
        <v>0.2</v>
      </c>
      <c r="I204" s="16">
        <v>13</v>
      </c>
      <c r="J204" s="16">
        <v>2.7</v>
      </c>
      <c r="K204" s="6">
        <f t="shared" si="6"/>
        <v>10.3</v>
      </c>
      <c r="L204" s="4" t="str">
        <f t="shared" si="7"/>
        <v>Normal</v>
      </c>
    </row>
    <row r="205" spans="1:12" ht="18" customHeight="1" x14ac:dyDescent="0.3">
      <c r="A205" s="1">
        <v>23034</v>
      </c>
      <c r="B205" s="1" t="str">
        <f>VLOOKUP( WeatherData[[#This Row],[Station Number]], 'Station Numbers'!A:B,2,FALSE)</f>
        <v xml:space="preserve">Adelaide Airport </v>
      </c>
      <c r="C205" s="1">
        <v>2020</v>
      </c>
      <c r="D205" s="1">
        <v>7</v>
      </c>
      <c r="E205" s="1">
        <v>22</v>
      </c>
      <c r="F205" s="2">
        <f>DATE(WeatherData[[#This Row],[Year]],WeatherData[[#This Row],[Month]],WeatherData[[#This Row],[Day]])</f>
        <v>44034</v>
      </c>
      <c r="G205" s="2" t="str">
        <f>TEXT(WeatherData[[#This Row],[Date]], "mmmm")</f>
        <v>July</v>
      </c>
      <c r="H205" s="16">
        <v>0</v>
      </c>
      <c r="I205" s="16">
        <v>11.6</v>
      </c>
      <c r="J205" s="16">
        <v>7</v>
      </c>
      <c r="K205" s="6">
        <f t="shared" si="6"/>
        <v>4.5999999999999996</v>
      </c>
      <c r="L205" s="4" t="str">
        <f t="shared" si="7"/>
        <v>Normal</v>
      </c>
    </row>
    <row r="206" spans="1:12" ht="18" customHeight="1" x14ac:dyDescent="0.3">
      <c r="A206" s="1">
        <v>23034</v>
      </c>
      <c r="B206" s="1" t="str">
        <f>VLOOKUP( WeatherData[[#This Row],[Station Number]], 'Station Numbers'!A:B,2,FALSE)</f>
        <v xml:space="preserve">Adelaide Airport </v>
      </c>
      <c r="C206" s="1">
        <v>2020</v>
      </c>
      <c r="D206" s="1">
        <v>7</v>
      </c>
      <c r="E206" s="1">
        <v>23</v>
      </c>
      <c r="F206" s="2">
        <f>DATE(WeatherData[[#This Row],[Year]],WeatherData[[#This Row],[Month]],WeatherData[[#This Row],[Day]])</f>
        <v>44035</v>
      </c>
      <c r="G206" s="2" t="str">
        <f>TEXT(WeatherData[[#This Row],[Date]], "mmmm")</f>
        <v>July</v>
      </c>
      <c r="H206" s="16">
        <v>0</v>
      </c>
      <c r="I206" s="16">
        <v>15.1</v>
      </c>
      <c r="J206" s="16">
        <v>2</v>
      </c>
      <c r="K206" s="6">
        <f t="shared" si="6"/>
        <v>13.1</v>
      </c>
      <c r="L206" s="4" t="str">
        <f t="shared" si="7"/>
        <v>Normal</v>
      </c>
    </row>
    <row r="207" spans="1:12" ht="18" customHeight="1" x14ac:dyDescent="0.3">
      <c r="A207" s="1">
        <v>23034</v>
      </c>
      <c r="B207" s="1" t="str">
        <f>VLOOKUP( WeatherData[[#This Row],[Station Number]], 'Station Numbers'!A:B,2,FALSE)</f>
        <v xml:space="preserve">Adelaide Airport </v>
      </c>
      <c r="C207" s="1">
        <v>2020</v>
      </c>
      <c r="D207" s="1">
        <v>7</v>
      </c>
      <c r="E207" s="1">
        <v>24</v>
      </c>
      <c r="F207" s="2">
        <f>DATE(WeatherData[[#This Row],[Year]],WeatherData[[#This Row],[Month]],WeatherData[[#This Row],[Day]])</f>
        <v>44036</v>
      </c>
      <c r="G207" s="2" t="str">
        <f>TEXT(WeatherData[[#This Row],[Date]], "mmmm")</f>
        <v>July</v>
      </c>
      <c r="H207" s="16">
        <v>0</v>
      </c>
      <c r="I207" s="16">
        <v>18.8</v>
      </c>
      <c r="J207" s="16">
        <v>4.5999999999999996</v>
      </c>
      <c r="K207" s="6">
        <f t="shared" si="6"/>
        <v>14.200000000000001</v>
      </c>
      <c r="L207" s="4" t="str">
        <f t="shared" si="7"/>
        <v>Normal</v>
      </c>
    </row>
    <row r="208" spans="1:12" ht="18" customHeight="1" x14ac:dyDescent="0.3">
      <c r="A208" s="1">
        <v>23034</v>
      </c>
      <c r="B208" s="1" t="str">
        <f>VLOOKUP( WeatherData[[#This Row],[Station Number]], 'Station Numbers'!A:B,2,FALSE)</f>
        <v xml:space="preserve">Adelaide Airport </v>
      </c>
      <c r="C208" s="1">
        <v>2020</v>
      </c>
      <c r="D208" s="1">
        <v>7</v>
      </c>
      <c r="E208" s="1">
        <v>25</v>
      </c>
      <c r="F208" s="2">
        <f>DATE(WeatherData[[#This Row],[Year]],WeatherData[[#This Row],[Month]],WeatherData[[#This Row],[Day]])</f>
        <v>44037</v>
      </c>
      <c r="G208" s="2" t="str">
        <f>TEXT(WeatherData[[#This Row],[Date]], "mmmm")</f>
        <v>July</v>
      </c>
      <c r="H208" s="16">
        <v>0</v>
      </c>
      <c r="I208" s="16">
        <v>16</v>
      </c>
      <c r="J208" s="16">
        <v>3.9</v>
      </c>
      <c r="K208" s="6">
        <f t="shared" si="6"/>
        <v>12.1</v>
      </c>
      <c r="L208" s="4" t="str">
        <f t="shared" si="7"/>
        <v>Normal</v>
      </c>
    </row>
    <row r="209" spans="1:12" ht="18" customHeight="1" x14ac:dyDescent="0.3">
      <c r="A209" s="1">
        <v>23034</v>
      </c>
      <c r="B209" s="1" t="str">
        <f>VLOOKUP( WeatherData[[#This Row],[Station Number]], 'Station Numbers'!A:B,2,FALSE)</f>
        <v xml:space="preserve">Adelaide Airport </v>
      </c>
      <c r="C209" s="1">
        <v>2020</v>
      </c>
      <c r="D209" s="1">
        <v>7</v>
      </c>
      <c r="E209" s="1">
        <v>26</v>
      </c>
      <c r="F209" s="2">
        <f>DATE(WeatherData[[#This Row],[Year]],WeatherData[[#This Row],[Month]],WeatherData[[#This Row],[Day]])</f>
        <v>44038</v>
      </c>
      <c r="G209" s="2" t="str">
        <f>TEXT(WeatherData[[#This Row],[Date]], "mmmm")</f>
        <v>July</v>
      </c>
      <c r="H209" s="16">
        <v>0</v>
      </c>
      <c r="I209" s="16">
        <v>16.3</v>
      </c>
      <c r="J209" s="16">
        <v>2.9</v>
      </c>
      <c r="K209" s="6">
        <f t="shared" si="6"/>
        <v>13.4</v>
      </c>
      <c r="L209" s="4" t="str">
        <f t="shared" si="7"/>
        <v>Normal</v>
      </c>
    </row>
    <row r="210" spans="1:12" ht="18" customHeight="1" x14ac:dyDescent="0.3">
      <c r="A210" s="1">
        <v>23034</v>
      </c>
      <c r="B210" s="1" t="str">
        <f>VLOOKUP( WeatherData[[#This Row],[Station Number]], 'Station Numbers'!A:B,2,FALSE)</f>
        <v xml:space="preserve">Adelaide Airport </v>
      </c>
      <c r="C210" s="1">
        <v>2020</v>
      </c>
      <c r="D210" s="1">
        <v>7</v>
      </c>
      <c r="E210" s="1">
        <v>27</v>
      </c>
      <c r="F210" s="2">
        <f>DATE(WeatherData[[#This Row],[Year]],WeatherData[[#This Row],[Month]],WeatherData[[#This Row],[Day]])</f>
        <v>44039</v>
      </c>
      <c r="G210" s="2" t="str">
        <f>TEXT(WeatherData[[#This Row],[Date]], "mmmm")</f>
        <v>July</v>
      </c>
      <c r="H210" s="16">
        <v>0.4</v>
      </c>
      <c r="I210" s="16">
        <v>16.100000000000001</v>
      </c>
      <c r="J210" s="16">
        <v>5.9</v>
      </c>
      <c r="K210" s="6">
        <f t="shared" si="6"/>
        <v>10.200000000000001</v>
      </c>
      <c r="L210" s="4" t="str">
        <f t="shared" si="7"/>
        <v>Normal</v>
      </c>
    </row>
    <row r="211" spans="1:12" ht="18" customHeight="1" x14ac:dyDescent="0.3">
      <c r="A211" s="1">
        <v>23034</v>
      </c>
      <c r="B211" s="1" t="str">
        <f>VLOOKUP( WeatherData[[#This Row],[Station Number]], 'Station Numbers'!A:B,2,FALSE)</f>
        <v xml:space="preserve">Adelaide Airport </v>
      </c>
      <c r="C211" s="1">
        <v>2020</v>
      </c>
      <c r="D211" s="1">
        <v>7</v>
      </c>
      <c r="E211" s="1">
        <v>28</v>
      </c>
      <c r="F211" s="2">
        <f>DATE(WeatherData[[#This Row],[Year]],WeatherData[[#This Row],[Month]],WeatherData[[#This Row],[Day]])</f>
        <v>44040</v>
      </c>
      <c r="G211" s="2" t="str">
        <f>TEXT(WeatherData[[#This Row],[Date]], "mmmm")</f>
        <v>July</v>
      </c>
      <c r="H211" s="16">
        <v>0</v>
      </c>
      <c r="I211" s="16">
        <v>12.8</v>
      </c>
      <c r="J211" s="16">
        <v>0.3</v>
      </c>
      <c r="K211" s="6">
        <f t="shared" si="6"/>
        <v>12.5</v>
      </c>
      <c r="L211" s="4" t="str">
        <f t="shared" si="7"/>
        <v>Normal</v>
      </c>
    </row>
    <row r="212" spans="1:12" ht="18" customHeight="1" x14ac:dyDescent="0.3">
      <c r="A212" s="1">
        <v>23034</v>
      </c>
      <c r="B212" s="1" t="str">
        <f>VLOOKUP( WeatherData[[#This Row],[Station Number]], 'Station Numbers'!A:B,2,FALSE)</f>
        <v xml:space="preserve">Adelaide Airport </v>
      </c>
      <c r="C212" s="1">
        <v>2020</v>
      </c>
      <c r="D212" s="1">
        <v>7</v>
      </c>
      <c r="E212" s="1">
        <v>29</v>
      </c>
      <c r="F212" s="2">
        <f>DATE(WeatherData[[#This Row],[Year]],WeatherData[[#This Row],[Month]],WeatherData[[#This Row],[Day]])</f>
        <v>44041</v>
      </c>
      <c r="G212" s="2" t="str">
        <f>TEXT(WeatherData[[#This Row],[Date]], "mmmm")</f>
        <v>July</v>
      </c>
      <c r="H212" s="16">
        <v>0</v>
      </c>
      <c r="I212" s="16">
        <v>16.100000000000001</v>
      </c>
      <c r="J212" s="16">
        <v>0.9</v>
      </c>
      <c r="K212" s="6">
        <f t="shared" si="6"/>
        <v>15.200000000000001</v>
      </c>
      <c r="L212" s="4" t="str">
        <f t="shared" si="7"/>
        <v>Normal</v>
      </c>
    </row>
    <row r="213" spans="1:12" ht="18" customHeight="1" x14ac:dyDescent="0.3">
      <c r="A213" s="1">
        <v>23034</v>
      </c>
      <c r="B213" s="1" t="str">
        <f>VLOOKUP( WeatherData[[#This Row],[Station Number]], 'Station Numbers'!A:B,2,FALSE)</f>
        <v xml:space="preserve">Adelaide Airport </v>
      </c>
      <c r="C213" s="1">
        <v>2020</v>
      </c>
      <c r="D213" s="1">
        <v>7</v>
      </c>
      <c r="E213" s="1">
        <v>30</v>
      </c>
      <c r="F213" s="2">
        <f>DATE(WeatherData[[#This Row],[Year]],WeatherData[[#This Row],[Month]],WeatherData[[#This Row],[Day]])</f>
        <v>44042</v>
      </c>
      <c r="G213" s="2" t="str">
        <f>TEXT(WeatherData[[#This Row],[Date]], "mmmm")</f>
        <v>July</v>
      </c>
      <c r="H213" s="16">
        <v>0</v>
      </c>
      <c r="I213" s="16">
        <v>11.8</v>
      </c>
      <c r="J213" s="16">
        <v>4.9000000000000004</v>
      </c>
      <c r="K213" s="6">
        <f t="shared" si="6"/>
        <v>6.9</v>
      </c>
      <c r="L213" s="4" t="str">
        <f t="shared" si="7"/>
        <v>Normal</v>
      </c>
    </row>
    <row r="214" spans="1:12" ht="18" customHeight="1" x14ac:dyDescent="0.3">
      <c r="A214" s="1">
        <v>23034</v>
      </c>
      <c r="B214" s="1" t="str">
        <f>VLOOKUP( WeatherData[[#This Row],[Station Number]], 'Station Numbers'!A:B,2,FALSE)</f>
        <v xml:space="preserve">Adelaide Airport </v>
      </c>
      <c r="C214" s="1">
        <v>2020</v>
      </c>
      <c r="D214" s="1">
        <v>7</v>
      </c>
      <c r="E214" s="1">
        <v>31</v>
      </c>
      <c r="F214" s="2">
        <f>DATE(WeatherData[[#This Row],[Year]],WeatherData[[#This Row],[Month]],WeatherData[[#This Row],[Day]])</f>
        <v>44043</v>
      </c>
      <c r="G214" s="2" t="str">
        <f>TEXT(WeatherData[[#This Row],[Date]], "mmmm")</f>
        <v>July</v>
      </c>
      <c r="H214" s="16">
        <v>0.2</v>
      </c>
      <c r="I214" s="16">
        <v>19.5</v>
      </c>
      <c r="J214" s="16">
        <v>3.7</v>
      </c>
      <c r="K214" s="6">
        <f t="shared" si="6"/>
        <v>15.8</v>
      </c>
      <c r="L214" s="4" t="str">
        <f t="shared" si="7"/>
        <v>Normal</v>
      </c>
    </row>
    <row r="215" spans="1:12" ht="18" customHeight="1" x14ac:dyDescent="0.3">
      <c r="A215" s="1">
        <v>23034</v>
      </c>
      <c r="B215" s="1" t="str">
        <f>VLOOKUP( WeatherData[[#This Row],[Station Number]], 'Station Numbers'!A:B,2,FALSE)</f>
        <v xml:space="preserve">Adelaide Airport </v>
      </c>
      <c r="C215" s="1">
        <v>2020</v>
      </c>
      <c r="D215" s="1">
        <v>8</v>
      </c>
      <c r="E215" s="1">
        <v>1</v>
      </c>
      <c r="F215" s="2">
        <f>DATE(WeatherData[[#This Row],[Year]],WeatherData[[#This Row],[Month]],WeatherData[[#This Row],[Day]])</f>
        <v>44044</v>
      </c>
      <c r="G215" s="2" t="str">
        <f>TEXT(WeatherData[[#This Row],[Date]], "mmmm")</f>
        <v>August</v>
      </c>
      <c r="H215" s="16">
        <v>0</v>
      </c>
      <c r="I215" s="16">
        <v>20.100000000000001</v>
      </c>
      <c r="J215" s="16">
        <v>9.8000000000000007</v>
      </c>
      <c r="K215" s="6">
        <f t="shared" si="6"/>
        <v>10.3</v>
      </c>
      <c r="L215" s="4" t="str">
        <f t="shared" si="7"/>
        <v>Normal</v>
      </c>
    </row>
    <row r="216" spans="1:12" ht="18" customHeight="1" x14ac:dyDescent="0.3">
      <c r="A216" s="1">
        <v>23034</v>
      </c>
      <c r="B216" s="1" t="str">
        <f>VLOOKUP( WeatherData[[#This Row],[Station Number]], 'Station Numbers'!A:B,2,FALSE)</f>
        <v xml:space="preserve">Adelaide Airport </v>
      </c>
      <c r="C216" s="1">
        <v>2020</v>
      </c>
      <c r="D216" s="1">
        <v>8</v>
      </c>
      <c r="E216" s="1">
        <v>2</v>
      </c>
      <c r="F216" s="2">
        <f>DATE(WeatherData[[#This Row],[Year]],WeatherData[[#This Row],[Month]],WeatherData[[#This Row],[Day]])</f>
        <v>44045</v>
      </c>
      <c r="G216" s="2" t="str">
        <f>TEXT(WeatherData[[#This Row],[Date]], "mmmm")</f>
        <v>August</v>
      </c>
      <c r="H216" s="16">
        <v>0</v>
      </c>
      <c r="I216" s="16">
        <v>18.2</v>
      </c>
      <c r="J216" s="16">
        <v>5.7</v>
      </c>
      <c r="K216" s="6">
        <f t="shared" si="6"/>
        <v>12.5</v>
      </c>
      <c r="L216" s="4" t="str">
        <f t="shared" si="7"/>
        <v>Normal</v>
      </c>
    </row>
    <row r="217" spans="1:12" ht="18" customHeight="1" x14ac:dyDescent="0.3">
      <c r="A217" s="1">
        <v>23034</v>
      </c>
      <c r="B217" s="1" t="str">
        <f>VLOOKUP( WeatherData[[#This Row],[Station Number]], 'Station Numbers'!A:B,2,FALSE)</f>
        <v xml:space="preserve">Adelaide Airport </v>
      </c>
      <c r="C217" s="1">
        <v>2020</v>
      </c>
      <c r="D217" s="1">
        <v>8</v>
      </c>
      <c r="E217" s="1">
        <v>3</v>
      </c>
      <c r="F217" s="2">
        <f>DATE(WeatherData[[#This Row],[Year]],WeatherData[[#This Row],[Month]],WeatherData[[#This Row],[Day]])</f>
        <v>44046</v>
      </c>
      <c r="G217" s="2" t="str">
        <f>TEXT(WeatherData[[#This Row],[Date]], "mmmm")</f>
        <v>August</v>
      </c>
      <c r="H217" s="16">
        <v>0</v>
      </c>
      <c r="I217" s="16">
        <v>15</v>
      </c>
      <c r="J217" s="16">
        <v>5.5</v>
      </c>
      <c r="K217" s="6">
        <f t="shared" si="6"/>
        <v>9.5</v>
      </c>
      <c r="L217" s="4" t="str">
        <f t="shared" si="7"/>
        <v>Normal</v>
      </c>
    </row>
    <row r="218" spans="1:12" ht="18" customHeight="1" x14ac:dyDescent="0.3">
      <c r="A218" s="1">
        <v>23034</v>
      </c>
      <c r="B218" s="1" t="str">
        <f>VLOOKUP( WeatherData[[#This Row],[Station Number]], 'Station Numbers'!A:B,2,FALSE)</f>
        <v xml:space="preserve">Adelaide Airport </v>
      </c>
      <c r="C218" s="1">
        <v>2020</v>
      </c>
      <c r="D218" s="1">
        <v>8</v>
      </c>
      <c r="E218" s="1">
        <v>4</v>
      </c>
      <c r="F218" s="2">
        <f>DATE(WeatherData[[#This Row],[Year]],WeatherData[[#This Row],[Month]],WeatherData[[#This Row],[Day]])</f>
        <v>44047</v>
      </c>
      <c r="G218" s="2" t="str">
        <f>TEXT(WeatherData[[#This Row],[Date]], "mmmm")</f>
        <v>August</v>
      </c>
      <c r="H218" s="16">
        <v>0</v>
      </c>
      <c r="I218" s="16">
        <v>14.2</v>
      </c>
      <c r="J218" s="16">
        <v>5.0999999999999996</v>
      </c>
      <c r="K218" s="6">
        <f t="shared" si="6"/>
        <v>9.1</v>
      </c>
      <c r="L218" s="4" t="str">
        <f t="shared" si="7"/>
        <v>Normal</v>
      </c>
    </row>
    <row r="219" spans="1:12" ht="18" customHeight="1" x14ac:dyDescent="0.3">
      <c r="A219" s="1">
        <v>23034</v>
      </c>
      <c r="B219" s="1" t="str">
        <f>VLOOKUP( WeatherData[[#This Row],[Station Number]], 'Station Numbers'!A:B,2,FALSE)</f>
        <v xml:space="preserve">Adelaide Airport </v>
      </c>
      <c r="C219" s="1">
        <v>2020</v>
      </c>
      <c r="D219" s="1">
        <v>8</v>
      </c>
      <c r="E219" s="1">
        <v>5</v>
      </c>
      <c r="F219" s="2">
        <f>DATE(WeatherData[[#This Row],[Year]],WeatherData[[#This Row],[Month]],WeatherData[[#This Row],[Day]])</f>
        <v>44048</v>
      </c>
      <c r="G219" s="2" t="str">
        <f>TEXT(WeatherData[[#This Row],[Date]], "mmmm")</f>
        <v>August</v>
      </c>
      <c r="H219" s="16">
        <v>0</v>
      </c>
      <c r="I219" s="16">
        <v>14.6</v>
      </c>
      <c r="J219" s="16">
        <v>-0.3</v>
      </c>
      <c r="K219" s="6">
        <f t="shared" si="6"/>
        <v>14.9</v>
      </c>
      <c r="L219" s="4" t="str">
        <f t="shared" si="7"/>
        <v>Normal</v>
      </c>
    </row>
    <row r="220" spans="1:12" ht="18" customHeight="1" x14ac:dyDescent="0.3">
      <c r="A220" s="1">
        <v>23034</v>
      </c>
      <c r="B220" s="1" t="str">
        <f>VLOOKUP( WeatherData[[#This Row],[Station Number]], 'Station Numbers'!A:B,2,FALSE)</f>
        <v xml:space="preserve">Adelaide Airport </v>
      </c>
      <c r="C220" s="1">
        <v>2020</v>
      </c>
      <c r="D220" s="1">
        <v>8</v>
      </c>
      <c r="E220" s="1">
        <v>6</v>
      </c>
      <c r="F220" s="2">
        <f>DATE(WeatherData[[#This Row],[Year]],WeatherData[[#This Row],[Month]],WeatherData[[#This Row],[Day]])</f>
        <v>44049</v>
      </c>
      <c r="G220" s="2" t="str">
        <f>TEXT(WeatherData[[#This Row],[Date]], "mmmm")</f>
        <v>August</v>
      </c>
      <c r="H220" s="16">
        <v>0</v>
      </c>
      <c r="I220" s="16">
        <v>13</v>
      </c>
      <c r="J220" s="16">
        <v>2.6</v>
      </c>
      <c r="K220" s="6">
        <f t="shared" si="6"/>
        <v>10.4</v>
      </c>
      <c r="L220" s="4" t="str">
        <f t="shared" si="7"/>
        <v>Normal</v>
      </c>
    </row>
    <row r="221" spans="1:12" ht="18" customHeight="1" x14ac:dyDescent="0.3">
      <c r="A221" s="1">
        <v>23034</v>
      </c>
      <c r="B221" s="1" t="str">
        <f>VLOOKUP( WeatherData[[#This Row],[Station Number]], 'Station Numbers'!A:B,2,FALSE)</f>
        <v xml:space="preserve">Adelaide Airport </v>
      </c>
      <c r="C221" s="1">
        <v>2020</v>
      </c>
      <c r="D221" s="1">
        <v>8</v>
      </c>
      <c r="E221" s="1">
        <v>7</v>
      </c>
      <c r="F221" s="2">
        <f>DATE(WeatherData[[#This Row],[Year]],WeatherData[[#This Row],[Month]],WeatherData[[#This Row],[Day]])</f>
        <v>44050</v>
      </c>
      <c r="G221" s="2" t="str">
        <f>TEXT(WeatherData[[#This Row],[Date]], "mmmm")</f>
        <v>August</v>
      </c>
      <c r="H221" s="16">
        <v>0</v>
      </c>
      <c r="I221" s="16">
        <v>10.9</v>
      </c>
      <c r="J221" s="16">
        <v>8</v>
      </c>
      <c r="K221" s="6">
        <f t="shared" si="6"/>
        <v>2.9000000000000004</v>
      </c>
      <c r="L221" s="4" t="str">
        <f t="shared" si="7"/>
        <v>Normal</v>
      </c>
    </row>
    <row r="222" spans="1:12" ht="18" customHeight="1" x14ac:dyDescent="0.3">
      <c r="A222" s="1">
        <v>23034</v>
      </c>
      <c r="B222" s="1" t="str">
        <f>VLOOKUP( WeatherData[[#This Row],[Station Number]], 'Station Numbers'!A:B,2,FALSE)</f>
        <v xml:space="preserve">Adelaide Airport </v>
      </c>
      <c r="C222" s="1">
        <v>2020</v>
      </c>
      <c r="D222" s="1">
        <v>8</v>
      </c>
      <c r="E222" s="1">
        <v>8</v>
      </c>
      <c r="F222" s="2">
        <f>DATE(WeatherData[[#This Row],[Year]],WeatherData[[#This Row],[Month]],WeatherData[[#This Row],[Day]])</f>
        <v>44051</v>
      </c>
      <c r="G222" s="2" t="str">
        <f>TEXT(WeatherData[[#This Row],[Date]], "mmmm")</f>
        <v>August</v>
      </c>
      <c r="H222" s="16">
        <v>1</v>
      </c>
      <c r="I222" s="16">
        <v>14</v>
      </c>
      <c r="J222" s="16">
        <v>7.7</v>
      </c>
      <c r="K222" s="6">
        <f t="shared" si="6"/>
        <v>6.3</v>
      </c>
      <c r="L222" s="4" t="str">
        <f t="shared" si="7"/>
        <v>Normal</v>
      </c>
    </row>
    <row r="223" spans="1:12" ht="18" customHeight="1" x14ac:dyDescent="0.3">
      <c r="A223" s="1">
        <v>23034</v>
      </c>
      <c r="B223" s="1" t="str">
        <f>VLOOKUP( WeatherData[[#This Row],[Station Number]], 'Station Numbers'!A:B,2,FALSE)</f>
        <v xml:space="preserve">Adelaide Airport </v>
      </c>
      <c r="C223" s="1">
        <v>2020</v>
      </c>
      <c r="D223" s="1">
        <v>8</v>
      </c>
      <c r="E223" s="1">
        <v>9</v>
      </c>
      <c r="F223" s="2">
        <f>DATE(WeatherData[[#This Row],[Year]],WeatherData[[#This Row],[Month]],WeatherData[[#This Row],[Day]])</f>
        <v>44052</v>
      </c>
      <c r="G223" s="2" t="str">
        <f>TEXT(WeatherData[[#This Row],[Date]], "mmmm")</f>
        <v>August</v>
      </c>
      <c r="H223" s="16">
        <v>0</v>
      </c>
      <c r="I223" s="16">
        <v>15.3</v>
      </c>
      <c r="J223" s="16">
        <v>6.3</v>
      </c>
      <c r="K223" s="6">
        <f t="shared" si="6"/>
        <v>9</v>
      </c>
      <c r="L223" s="4" t="str">
        <f t="shared" si="7"/>
        <v>Normal</v>
      </c>
    </row>
    <row r="224" spans="1:12" ht="18" customHeight="1" x14ac:dyDescent="0.3">
      <c r="A224" s="1">
        <v>23034</v>
      </c>
      <c r="B224" s="1" t="str">
        <f>VLOOKUP( WeatherData[[#This Row],[Station Number]], 'Station Numbers'!A:B,2,FALSE)</f>
        <v xml:space="preserve">Adelaide Airport </v>
      </c>
      <c r="C224" s="1">
        <v>2020</v>
      </c>
      <c r="D224" s="1">
        <v>8</v>
      </c>
      <c r="E224" s="1">
        <v>10</v>
      </c>
      <c r="F224" s="2">
        <f>DATE(WeatherData[[#This Row],[Year]],WeatherData[[#This Row],[Month]],WeatherData[[#This Row],[Day]])</f>
        <v>44053</v>
      </c>
      <c r="G224" s="2" t="str">
        <f>TEXT(WeatherData[[#This Row],[Date]], "mmmm")</f>
        <v>August</v>
      </c>
      <c r="H224" s="16">
        <v>0</v>
      </c>
      <c r="I224" s="16">
        <v>17.8</v>
      </c>
      <c r="J224" s="16">
        <v>3.7</v>
      </c>
      <c r="K224" s="6">
        <f t="shared" si="6"/>
        <v>14.100000000000001</v>
      </c>
      <c r="L224" s="4" t="str">
        <f t="shared" si="7"/>
        <v>Normal</v>
      </c>
    </row>
    <row r="225" spans="1:12" ht="18" customHeight="1" x14ac:dyDescent="0.3">
      <c r="A225" s="1">
        <v>23034</v>
      </c>
      <c r="B225" s="1" t="str">
        <f>VLOOKUP( WeatherData[[#This Row],[Station Number]], 'Station Numbers'!A:B,2,FALSE)</f>
        <v xml:space="preserve">Adelaide Airport </v>
      </c>
      <c r="C225" s="1">
        <v>2020</v>
      </c>
      <c r="D225" s="1">
        <v>8</v>
      </c>
      <c r="E225" s="1">
        <v>11</v>
      </c>
      <c r="F225" s="2">
        <f>DATE(WeatherData[[#This Row],[Year]],WeatherData[[#This Row],[Month]],WeatherData[[#This Row],[Day]])</f>
        <v>44054</v>
      </c>
      <c r="G225" s="2" t="str">
        <f>TEXT(WeatherData[[#This Row],[Date]], "mmmm")</f>
        <v>August</v>
      </c>
      <c r="H225" s="16">
        <v>0</v>
      </c>
      <c r="I225" s="16">
        <v>15</v>
      </c>
      <c r="J225" s="16">
        <v>11.9</v>
      </c>
      <c r="K225" s="6">
        <f t="shared" si="6"/>
        <v>3.0999999999999996</v>
      </c>
      <c r="L225" s="4" t="str">
        <f t="shared" si="7"/>
        <v>Normal</v>
      </c>
    </row>
    <row r="226" spans="1:12" ht="18" customHeight="1" x14ac:dyDescent="0.3">
      <c r="A226" s="1">
        <v>23034</v>
      </c>
      <c r="B226" s="1" t="str">
        <f>VLOOKUP( WeatherData[[#This Row],[Station Number]], 'Station Numbers'!A:B,2,FALSE)</f>
        <v xml:space="preserve">Adelaide Airport </v>
      </c>
      <c r="C226" s="1">
        <v>2020</v>
      </c>
      <c r="D226" s="1">
        <v>8</v>
      </c>
      <c r="E226" s="1">
        <v>12</v>
      </c>
      <c r="F226" s="2">
        <f>DATE(WeatherData[[#This Row],[Year]],WeatherData[[#This Row],[Month]],WeatherData[[#This Row],[Day]])</f>
        <v>44055</v>
      </c>
      <c r="G226" s="2" t="str">
        <f>TEXT(WeatherData[[#This Row],[Date]], "mmmm")</f>
        <v>August</v>
      </c>
      <c r="H226" s="16">
        <v>9.6</v>
      </c>
      <c r="I226" s="16">
        <v>16.899999999999999</v>
      </c>
      <c r="J226" s="16">
        <v>10.9</v>
      </c>
      <c r="K226" s="6">
        <f t="shared" si="6"/>
        <v>5.9999999999999982</v>
      </c>
      <c r="L226" s="4" t="str">
        <f t="shared" si="7"/>
        <v>Normal</v>
      </c>
    </row>
    <row r="227" spans="1:12" ht="18" customHeight="1" x14ac:dyDescent="0.3">
      <c r="A227" s="1">
        <v>23034</v>
      </c>
      <c r="B227" s="1" t="str">
        <f>VLOOKUP( WeatherData[[#This Row],[Station Number]], 'Station Numbers'!A:B,2,FALSE)</f>
        <v xml:space="preserve">Adelaide Airport </v>
      </c>
      <c r="C227" s="1">
        <v>2020</v>
      </c>
      <c r="D227" s="1">
        <v>8</v>
      </c>
      <c r="E227" s="1">
        <v>13</v>
      </c>
      <c r="F227" s="2">
        <f>DATE(WeatherData[[#This Row],[Year]],WeatherData[[#This Row],[Month]],WeatherData[[#This Row],[Day]])</f>
        <v>44056</v>
      </c>
      <c r="G227" s="2" t="str">
        <f>TEXT(WeatherData[[#This Row],[Date]], "mmmm")</f>
        <v>August</v>
      </c>
      <c r="H227" s="16">
        <v>0.2</v>
      </c>
      <c r="I227" s="16">
        <v>17.100000000000001</v>
      </c>
      <c r="J227" s="16">
        <v>11.8</v>
      </c>
      <c r="K227" s="6">
        <f t="shared" si="6"/>
        <v>5.3000000000000007</v>
      </c>
      <c r="L227" s="4" t="str">
        <f t="shared" si="7"/>
        <v>Normal</v>
      </c>
    </row>
    <row r="228" spans="1:12" ht="18" customHeight="1" x14ac:dyDescent="0.3">
      <c r="A228" s="1">
        <v>23034</v>
      </c>
      <c r="B228" s="1" t="str">
        <f>VLOOKUP( WeatherData[[#This Row],[Station Number]], 'Station Numbers'!A:B,2,FALSE)</f>
        <v xml:space="preserve">Adelaide Airport </v>
      </c>
      <c r="C228" s="1">
        <v>2020</v>
      </c>
      <c r="D228" s="1">
        <v>8</v>
      </c>
      <c r="E228" s="1">
        <v>14</v>
      </c>
      <c r="F228" s="2">
        <f>DATE(WeatherData[[#This Row],[Year]],WeatherData[[#This Row],[Month]],WeatherData[[#This Row],[Day]])</f>
        <v>44057</v>
      </c>
      <c r="G228" s="2" t="str">
        <f>TEXT(WeatherData[[#This Row],[Date]], "mmmm")</f>
        <v>August</v>
      </c>
      <c r="H228" s="16">
        <v>0.4</v>
      </c>
      <c r="I228" s="16">
        <v>16.3</v>
      </c>
      <c r="J228" s="16">
        <v>9.6999999999999993</v>
      </c>
      <c r="K228" s="6">
        <f t="shared" si="6"/>
        <v>6.6000000000000014</v>
      </c>
      <c r="L228" s="4" t="str">
        <f t="shared" si="7"/>
        <v>Normal</v>
      </c>
    </row>
    <row r="229" spans="1:12" ht="18" customHeight="1" x14ac:dyDescent="0.3">
      <c r="A229" s="1">
        <v>23034</v>
      </c>
      <c r="B229" s="1" t="str">
        <f>VLOOKUP( WeatherData[[#This Row],[Station Number]], 'Station Numbers'!A:B,2,FALSE)</f>
        <v xml:space="preserve">Adelaide Airport </v>
      </c>
      <c r="C229" s="1">
        <v>2020</v>
      </c>
      <c r="D229" s="1">
        <v>8</v>
      </c>
      <c r="E229" s="1">
        <v>15</v>
      </c>
      <c r="F229" s="2">
        <f>DATE(WeatherData[[#This Row],[Year]],WeatherData[[#This Row],[Month]],WeatherData[[#This Row],[Day]])</f>
        <v>44058</v>
      </c>
      <c r="G229" s="2" t="str">
        <f>TEXT(WeatherData[[#This Row],[Date]], "mmmm")</f>
        <v>August</v>
      </c>
      <c r="H229" s="16">
        <v>2.2000000000000002</v>
      </c>
      <c r="I229" s="16">
        <v>15.2</v>
      </c>
      <c r="J229" s="16">
        <v>11.3</v>
      </c>
      <c r="K229" s="6">
        <f t="shared" si="6"/>
        <v>3.8999999999999986</v>
      </c>
      <c r="L229" s="4" t="str">
        <f t="shared" si="7"/>
        <v>Normal</v>
      </c>
    </row>
    <row r="230" spans="1:12" ht="18" customHeight="1" x14ac:dyDescent="0.3">
      <c r="A230" s="1">
        <v>23034</v>
      </c>
      <c r="B230" s="1" t="str">
        <f>VLOOKUP( WeatherData[[#This Row],[Station Number]], 'Station Numbers'!A:B,2,FALSE)</f>
        <v xml:space="preserve">Adelaide Airport </v>
      </c>
      <c r="C230" s="1">
        <v>2020</v>
      </c>
      <c r="D230" s="1">
        <v>8</v>
      </c>
      <c r="E230" s="1">
        <v>16</v>
      </c>
      <c r="F230" s="2">
        <f>DATE(WeatherData[[#This Row],[Year]],WeatherData[[#This Row],[Month]],WeatherData[[#This Row],[Day]])</f>
        <v>44059</v>
      </c>
      <c r="G230" s="2" t="str">
        <f>TEXT(WeatherData[[#This Row],[Date]], "mmmm")</f>
        <v>August</v>
      </c>
      <c r="H230" s="16">
        <v>0.2</v>
      </c>
      <c r="I230" s="16">
        <v>14.7</v>
      </c>
      <c r="J230" s="16">
        <v>7.5</v>
      </c>
      <c r="K230" s="6">
        <f t="shared" si="6"/>
        <v>7.1999999999999993</v>
      </c>
      <c r="L230" s="4" t="str">
        <f t="shared" si="7"/>
        <v>Normal</v>
      </c>
    </row>
    <row r="231" spans="1:12" ht="18" customHeight="1" x14ac:dyDescent="0.3">
      <c r="A231" s="1">
        <v>23034</v>
      </c>
      <c r="B231" s="1" t="str">
        <f>VLOOKUP( WeatherData[[#This Row],[Station Number]], 'Station Numbers'!A:B,2,FALSE)</f>
        <v xml:space="preserve">Adelaide Airport </v>
      </c>
      <c r="C231" s="1">
        <v>2020</v>
      </c>
      <c r="D231" s="1">
        <v>8</v>
      </c>
      <c r="E231" s="1">
        <v>17</v>
      </c>
      <c r="F231" s="2">
        <f>DATE(WeatherData[[#This Row],[Year]],WeatherData[[#This Row],[Month]],WeatherData[[#This Row],[Day]])</f>
        <v>44060</v>
      </c>
      <c r="G231" s="2" t="str">
        <f>TEXT(WeatherData[[#This Row],[Date]], "mmmm")</f>
        <v>August</v>
      </c>
      <c r="H231" s="16">
        <v>0.2</v>
      </c>
      <c r="I231" s="16">
        <v>17.2</v>
      </c>
      <c r="J231" s="16">
        <v>7.7</v>
      </c>
      <c r="K231" s="6">
        <f t="shared" si="6"/>
        <v>9.5</v>
      </c>
      <c r="L231" s="4" t="str">
        <f t="shared" si="7"/>
        <v>Normal</v>
      </c>
    </row>
    <row r="232" spans="1:12" ht="18" customHeight="1" x14ac:dyDescent="0.3">
      <c r="A232" s="1">
        <v>23034</v>
      </c>
      <c r="B232" s="1" t="str">
        <f>VLOOKUP( WeatherData[[#This Row],[Station Number]], 'Station Numbers'!A:B,2,FALSE)</f>
        <v xml:space="preserve">Adelaide Airport </v>
      </c>
      <c r="C232" s="1">
        <v>2020</v>
      </c>
      <c r="D232" s="1">
        <v>8</v>
      </c>
      <c r="E232" s="1">
        <v>18</v>
      </c>
      <c r="F232" s="2">
        <f>DATE(WeatherData[[#This Row],[Year]],WeatherData[[#This Row],[Month]],WeatherData[[#This Row],[Day]])</f>
        <v>44061</v>
      </c>
      <c r="G232" s="2" t="str">
        <f>TEXT(WeatherData[[#This Row],[Date]], "mmmm")</f>
        <v>August</v>
      </c>
      <c r="H232" s="16">
        <v>0.8</v>
      </c>
      <c r="I232" s="16">
        <v>16</v>
      </c>
      <c r="J232" s="16">
        <v>8.9</v>
      </c>
      <c r="K232" s="6">
        <f t="shared" si="6"/>
        <v>7.1</v>
      </c>
      <c r="L232" s="4" t="str">
        <f t="shared" si="7"/>
        <v>Normal</v>
      </c>
    </row>
    <row r="233" spans="1:12" ht="18" customHeight="1" x14ac:dyDescent="0.3">
      <c r="A233" s="1">
        <v>23034</v>
      </c>
      <c r="B233" s="1" t="str">
        <f>VLOOKUP( WeatherData[[#This Row],[Station Number]], 'Station Numbers'!A:B,2,FALSE)</f>
        <v xml:space="preserve">Adelaide Airport </v>
      </c>
      <c r="C233" s="1">
        <v>2020</v>
      </c>
      <c r="D233" s="1">
        <v>8</v>
      </c>
      <c r="E233" s="1">
        <v>19</v>
      </c>
      <c r="F233" s="2">
        <f>DATE(WeatherData[[#This Row],[Year]],WeatherData[[#This Row],[Month]],WeatherData[[#This Row],[Day]])</f>
        <v>44062</v>
      </c>
      <c r="G233" s="2" t="str">
        <f>TEXT(WeatherData[[#This Row],[Date]], "mmmm")</f>
        <v>August</v>
      </c>
      <c r="H233" s="16">
        <v>7.8</v>
      </c>
      <c r="I233" s="16">
        <v>15.3</v>
      </c>
      <c r="J233" s="16">
        <v>9.6</v>
      </c>
      <c r="K233" s="6">
        <f t="shared" si="6"/>
        <v>5.7000000000000011</v>
      </c>
      <c r="L233" s="4" t="str">
        <f t="shared" si="7"/>
        <v>Normal</v>
      </c>
    </row>
    <row r="234" spans="1:12" ht="18" customHeight="1" x14ac:dyDescent="0.3">
      <c r="A234" s="1">
        <v>23034</v>
      </c>
      <c r="B234" s="1" t="str">
        <f>VLOOKUP( WeatherData[[#This Row],[Station Number]], 'Station Numbers'!A:B,2,FALSE)</f>
        <v xml:space="preserve">Adelaide Airport </v>
      </c>
      <c r="C234" s="1">
        <v>2020</v>
      </c>
      <c r="D234" s="1">
        <v>8</v>
      </c>
      <c r="E234" s="1">
        <v>20</v>
      </c>
      <c r="F234" s="2">
        <f>DATE(WeatherData[[#This Row],[Year]],WeatherData[[#This Row],[Month]],WeatherData[[#This Row],[Day]])</f>
        <v>44063</v>
      </c>
      <c r="G234" s="2" t="str">
        <f>TEXT(WeatherData[[#This Row],[Date]], "mmmm")</f>
        <v>August</v>
      </c>
      <c r="H234" s="16">
        <v>1.8</v>
      </c>
      <c r="I234" s="16">
        <v>14.8</v>
      </c>
      <c r="J234" s="16">
        <v>10</v>
      </c>
      <c r="K234" s="6">
        <f t="shared" si="6"/>
        <v>4.8000000000000007</v>
      </c>
      <c r="L234" s="4" t="str">
        <f t="shared" si="7"/>
        <v>Normal</v>
      </c>
    </row>
    <row r="235" spans="1:12" ht="18" customHeight="1" x14ac:dyDescent="0.3">
      <c r="A235" s="1">
        <v>23034</v>
      </c>
      <c r="B235" s="1" t="str">
        <f>VLOOKUP( WeatherData[[#This Row],[Station Number]], 'Station Numbers'!A:B,2,FALSE)</f>
        <v xml:space="preserve">Adelaide Airport </v>
      </c>
      <c r="C235" s="1">
        <v>2020</v>
      </c>
      <c r="D235" s="1">
        <v>8</v>
      </c>
      <c r="E235" s="1">
        <v>21</v>
      </c>
      <c r="F235" s="2">
        <f>DATE(WeatherData[[#This Row],[Year]],WeatherData[[#This Row],[Month]],WeatherData[[#This Row],[Day]])</f>
        <v>44064</v>
      </c>
      <c r="G235" s="2" t="str">
        <f>TEXT(WeatherData[[#This Row],[Date]], "mmmm")</f>
        <v>August</v>
      </c>
      <c r="H235" s="16">
        <v>6.8</v>
      </c>
      <c r="I235" s="16">
        <v>12.9</v>
      </c>
      <c r="J235" s="16">
        <v>9.1999999999999993</v>
      </c>
      <c r="K235" s="6">
        <f t="shared" si="6"/>
        <v>3.7000000000000011</v>
      </c>
      <c r="L235" s="4" t="str">
        <f t="shared" si="7"/>
        <v>Normal</v>
      </c>
    </row>
    <row r="236" spans="1:12" ht="18" customHeight="1" x14ac:dyDescent="0.3">
      <c r="A236" s="1">
        <v>23034</v>
      </c>
      <c r="B236" s="1" t="str">
        <f>VLOOKUP( WeatherData[[#This Row],[Station Number]], 'Station Numbers'!A:B,2,FALSE)</f>
        <v xml:space="preserve">Adelaide Airport </v>
      </c>
      <c r="C236" s="1">
        <v>2020</v>
      </c>
      <c r="D236" s="1">
        <v>8</v>
      </c>
      <c r="E236" s="1">
        <v>22</v>
      </c>
      <c r="F236" s="2">
        <f>DATE(WeatherData[[#This Row],[Year]],WeatherData[[#This Row],[Month]],WeatherData[[#This Row],[Day]])</f>
        <v>44065</v>
      </c>
      <c r="G236" s="2" t="str">
        <f>TEXT(WeatherData[[#This Row],[Date]], "mmmm")</f>
        <v>August</v>
      </c>
      <c r="H236" s="16">
        <v>2</v>
      </c>
      <c r="I236" s="16">
        <v>13.7</v>
      </c>
      <c r="J236" s="16">
        <v>8.1999999999999993</v>
      </c>
      <c r="K236" s="6">
        <f t="shared" si="6"/>
        <v>5.5</v>
      </c>
      <c r="L236" s="4" t="str">
        <f t="shared" si="7"/>
        <v>Normal</v>
      </c>
    </row>
    <row r="237" spans="1:12" ht="18" customHeight="1" x14ac:dyDescent="0.3">
      <c r="A237" s="1">
        <v>23034</v>
      </c>
      <c r="B237" s="1" t="str">
        <f>VLOOKUP( WeatherData[[#This Row],[Station Number]], 'Station Numbers'!A:B,2,FALSE)</f>
        <v xml:space="preserve">Adelaide Airport </v>
      </c>
      <c r="C237" s="1">
        <v>2020</v>
      </c>
      <c r="D237" s="1">
        <v>8</v>
      </c>
      <c r="E237" s="1">
        <v>23</v>
      </c>
      <c r="F237" s="2">
        <f>DATE(WeatherData[[#This Row],[Year]],WeatherData[[#This Row],[Month]],WeatherData[[#This Row],[Day]])</f>
        <v>44066</v>
      </c>
      <c r="G237" s="2" t="str">
        <f>TEXT(WeatherData[[#This Row],[Date]], "mmmm")</f>
        <v>August</v>
      </c>
      <c r="H237" s="16">
        <v>0.4</v>
      </c>
      <c r="I237" s="16">
        <v>13.2</v>
      </c>
      <c r="J237" s="16">
        <v>9.1999999999999993</v>
      </c>
      <c r="K237" s="6">
        <f t="shared" si="6"/>
        <v>4</v>
      </c>
      <c r="L237" s="4" t="str">
        <f t="shared" si="7"/>
        <v>Normal</v>
      </c>
    </row>
    <row r="238" spans="1:12" ht="18" customHeight="1" x14ac:dyDescent="0.3">
      <c r="A238" s="1">
        <v>23034</v>
      </c>
      <c r="B238" s="1" t="str">
        <f>VLOOKUP( WeatherData[[#This Row],[Station Number]], 'Station Numbers'!A:B,2,FALSE)</f>
        <v xml:space="preserve">Adelaide Airport </v>
      </c>
      <c r="C238" s="1">
        <v>2020</v>
      </c>
      <c r="D238" s="1">
        <v>8</v>
      </c>
      <c r="E238" s="1">
        <v>24</v>
      </c>
      <c r="F238" s="2">
        <f>DATE(WeatherData[[#This Row],[Year]],WeatherData[[#This Row],[Month]],WeatherData[[#This Row],[Day]])</f>
        <v>44067</v>
      </c>
      <c r="G238" s="2" t="str">
        <f>TEXT(WeatherData[[#This Row],[Date]], "mmmm")</f>
        <v>August</v>
      </c>
      <c r="H238" s="16">
        <v>0.2</v>
      </c>
      <c r="I238" s="16">
        <v>12.8</v>
      </c>
      <c r="J238" s="16">
        <v>6</v>
      </c>
      <c r="K238" s="6">
        <f t="shared" si="6"/>
        <v>6.8000000000000007</v>
      </c>
      <c r="L238" s="4" t="str">
        <f t="shared" si="7"/>
        <v>Normal</v>
      </c>
    </row>
    <row r="239" spans="1:12" ht="18" customHeight="1" x14ac:dyDescent="0.3">
      <c r="A239" s="1">
        <v>23034</v>
      </c>
      <c r="B239" s="1" t="str">
        <f>VLOOKUP( WeatherData[[#This Row],[Station Number]], 'Station Numbers'!A:B,2,FALSE)</f>
        <v xml:space="preserve">Adelaide Airport </v>
      </c>
      <c r="C239" s="1">
        <v>2020</v>
      </c>
      <c r="D239" s="1">
        <v>8</v>
      </c>
      <c r="E239" s="1">
        <v>25</v>
      </c>
      <c r="F239" s="2">
        <f>DATE(WeatherData[[#This Row],[Year]],WeatherData[[#This Row],[Month]],WeatherData[[#This Row],[Day]])</f>
        <v>44068</v>
      </c>
      <c r="G239" s="2" t="str">
        <f>TEXT(WeatherData[[#This Row],[Date]], "mmmm")</f>
        <v>August</v>
      </c>
      <c r="H239" s="16">
        <v>0</v>
      </c>
      <c r="I239" s="16">
        <v>13.9</v>
      </c>
      <c r="J239" s="16">
        <v>1.7</v>
      </c>
      <c r="K239" s="6">
        <f t="shared" si="6"/>
        <v>12.200000000000001</v>
      </c>
      <c r="L239" s="4" t="str">
        <f t="shared" si="7"/>
        <v>Normal</v>
      </c>
    </row>
    <row r="240" spans="1:12" ht="18" customHeight="1" x14ac:dyDescent="0.3">
      <c r="A240" s="1">
        <v>23034</v>
      </c>
      <c r="B240" s="1" t="str">
        <f>VLOOKUP( WeatherData[[#This Row],[Station Number]], 'Station Numbers'!A:B,2,FALSE)</f>
        <v xml:space="preserve">Adelaide Airport </v>
      </c>
      <c r="C240" s="1">
        <v>2020</v>
      </c>
      <c r="D240" s="1">
        <v>8</v>
      </c>
      <c r="E240" s="1">
        <v>26</v>
      </c>
      <c r="F240" s="2">
        <f>DATE(WeatherData[[#This Row],[Year]],WeatherData[[#This Row],[Month]],WeatherData[[#This Row],[Day]])</f>
        <v>44069</v>
      </c>
      <c r="G240" s="2" t="str">
        <f>TEXT(WeatherData[[#This Row],[Date]], "mmmm")</f>
        <v>August</v>
      </c>
      <c r="H240" s="16">
        <v>0</v>
      </c>
      <c r="I240" s="16">
        <v>20.100000000000001</v>
      </c>
      <c r="J240" s="16">
        <v>5.9</v>
      </c>
      <c r="K240" s="6">
        <f t="shared" si="6"/>
        <v>14.200000000000001</v>
      </c>
      <c r="L240" s="4" t="str">
        <f t="shared" si="7"/>
        <v>Normal</v>
      </c>
    </row>
    <row r="241" spans="1:12" ht="18" customHeight="1" x14ac:dyDescent="0.3">
      <c r="A241" s="1">
        <v>23034</v>
      </c>
      <c r="B241" s="1" t="str">
        <f>VLOOKUP( WeatherData[[#This Row],[Station Number]], 'Station Numbers'!A:B,2,FALSE)</f>
        <v xml:space="preserve">Adelaide Airport </v>
      </c>
      <c r="C241" s="1">
        <v>2020</v>
      </c>
      <c r="D241" s="1">
        <v>8</v>
      </c>
      <c r="E241" s="1">
        <v>27</v>
      </c>
      <c r="F241" s="2">
        <f>DATE(WeatherData[[#This Row],[Year]],WeatherData[[#This Row],[Month]],WeatherData[[#This Row],[Day]])</f>
        <v>44070</v>
      </c>
      <c r="G241" s="2" t="str">
        <f>TEXT(WeatherData[[#This Row],[Date]], "mmmm")</f>
        <v>August</v>
      </c>
      <c r="H241" s="16">
        <v>0</v>
      </c>
      <c r="I241" s="16">
        <v>17.7</v>
      </c>
      <c r="J241" s="16">
        <v>9.3000000000000007</v>
      </c>
      <c r="K241" s="6">
        <f t="shared" si="6"/>
        <v>8.3999999999999986</v>
      </c>
      <c r="L241" s="4" t="str">
        <f t="shared" si="7"/>
        <v>Normal</v>
      </c>
    </row>
    <row r="242" spans="1:12" ht="18" customHeight="1" x14ac:dyDescent="0.3">
      <c r="A242" s="1">
        <v>23034</v>
      </c>
      <c r="B242" s="1" t="str">
        <f>VLOOKUP( WeatherData[[#This Row],[Station Number]], 'Station Numbers'!A:B,2,FALSE)</f>
        <v xml:space="preserve">Adelaide Airport </v>
      </c>
      <c r="C242" s="1">
        <v>2020</v>
      </c>
      <c r="D242" s="1">
        <v>8</v>
      </c>
      <c r="E242" s="1">
        <v>28</v>
      </c>
      <c r="F242" s="2">
        <f>DATE(WeatherData[[#This Row],[Year]],WeatherData[[#This Row],[Month]],WeatherData[[#This Row],[Day]])</f>
        <v>44071</v>
      </c>
      <c r="G242" s="2" t="str">
        <f>TEXT(WeatherData[[#This Row],[Date]], "mmmm")</f>
        <v>August</v>
      </c>
      <c r="H242" s="16">
        <v>0</v>
      </c>
      <c r="I242" s="16">
        <v>18.7</v>
      </c>
      <c r="J242" s="16">
        <v>7.4</v>
      </c>
      <c r="K242" s="6">
        <f t="shared" si="6"/>
        <v>11.299999999999999</v>
      </c>
      <c r="L242" s="4" t="str">
        <f t="shared" si="7"/>
        <v>Normal</v>
      </c>
    </row>
    <row r="243" spans="1:12" ht="18" customHeight="1" x14ac:dyDescent="0.3">
      <c r="A243" s="1">
        <v>23034</v>
      </c>
      <c r="B243" s="1" t="str">
        <f>VLOOKUP( WeatherData[[#This Row],[Station Number]], 'Station Numbers'!A:B,2,FALSE)</f>
        <v xml:space="preserve">Adelaide Airport </v>
      </c>
      <c r="C243" s="1">
        <v>2020</v>
      </c>
      <c r="D243" s="1">
        <v>8</v>
      </c>
      <c r="E243" s="1">
        <v>29</v>
      </c>
      <c r="F243" s="2">
        <f>DATE(WeatherData[[#This Row],[Year]],WeatherData[[#This Row],[Month]],WeatherData[[#This Row],[Day]])</f>
        <v>44072</v>
      </c>
      <c r="G243" s="2" t="str">
        <f>TEXT(WeatherData[[#This Row],[Date]], "mmmm")</f>
        <v>August</v>
      </c>
      <c r="H243" s="16">
        <v>0</v>
      </c>
      <c r="I243" s="16">
        <v>24.9</v>
      </c>
      <c r="J243" s="16">
        <v>8</v>
      </c>
      <c r="K243" s="6">
        <f t="shared" si="6"/>
        <v>16.899999999999999</v>
      </c>
      <c r="L243" s="4" t="str">
        <f t="shared" si="7"/>
        <v>Normal</v>
      </c>
    </row>
    <row r="244" spans="1:12" ht="18" customHeight="1" x14ac:dyDescent="0.3">
      <c r="A244" s="1">
        <v>23034</v>
      </c>
      <c r="B244" s="1" t="str">
        <f>VLOOKUP( WeatherData[[#This Row],[Station Number]], 'Station Numbers'!A:B,2,FALSE)</f>
        <v xml:space="preserve">Adelaide Airport </v>
      </c>
      <c r="C244" s="1">
        <v>2020</v>
      </c>
      <c r="D244" s="1">
        <v>8</v>
      </c>
      <c r="E244" s="1">
        <v>30</v>
      </c>
      <c r="F244" s="2">
        <f>DATE(WeatherData[[#This Row],[Year]],WeatherData[[#This Row],[Month]],WeatherData[[#This Row],[Day]])</f>
        <v>44073</v>
      </c>
      <c r="G244" s="2" t="str">
        <f>TEXT(WeatherData[[#This Row],[Date]], "mmmm")</f>
        <v>August</v>
      </c>
      <c r="H244" s="16">
        <v>0</v>
      </c>
      <c r="I244" s="16">
        <v>15.5</v>
      </c>
      <c r="J244" s="16">
        <v>12.7</v>
      </c>
      <c r="K244" s="6">
        <f t="shared" si="6"/>
        <v>2.8000000000000007</v>
      </c>
      <c r="L244" s="4" t="str">
        <f t="shared" si="7"/>
        <v>Normal</v>
      </c>
    </row>
    <row r="245" spans="1:12" ht="18" customHeight="1" x14ac:dyDescent="0.3">
      <c r="A245" s="1">
        <v>23034</v>
      </c>
      <c r="B245" s="1" t="str">
        <f>VLOOKUP( WeatherData[[#This Row],[Station Number]], 'Station Numbers'!A:B,2,FALSE)</f>
        <v xml:space="preserve">Adelaide Airport </v>
      </c>
      <c r="C245" s="1">
        <v>2020</v>
      </c>
      <c r="D245" s="1">
        <v>8</v>
      </c>
      <c r="E245" s="1">
        <v>31</v>
      </c>
      <c r="F245" s="2">
        <f>DATE(WeatherData[[#This Row],[Year]],WeatherData[[#This Row],[Month]],WeatherData[[#This Row],[Day]])</f>
        <v>44074</v>
      </c>
      <c r="G245" s="2" t="str">
        <f>TEXT(WeatherData[[#This Row],[Date]], "mmmm")</f>
        <v>August</v>
      </c>
      <c r="H245" s="16">
        <v>0.4</v>
      </c>
      <c r="I245" s="16">
        <v>14.5</v>
      </c>
      <c r="J245" s="16">
        <v>8.1</v>
      </c>
      <c r="K245" s="6">
        <f t="shared" si="6"/>
        <v>6.4</v>
      </c>
      <c r="L245" s="4" t="str">
        <f t="shared" si="7"/>
        <v>Normal</v>
      </c>
    </row>
    <row r="246" spans="1:12" ht="18" customHeight="1" x14ac:dyDescent="0.3">
      <c r="A246" s="1">
        <v>23034</v>
      </c>
      <c r="B246" s="1" t="str">
        <f>VLOOKUP( WeatherData[[#This Row],[Station Number]], 'Station Numbers'!A:B,2,FALSE)</f>
        <v xml:space="preserve">Adelaide Airport </v>
      </c>
      <c r="C246" s="1">
        <v>2020</v>
      </c>
      <c r="D246" s="1">
        <v>9</v>
      </c>
      <c r="E246" s="1">
        <v>1</v>
      </c>
      <c r="F246" s="2">
        <f>DATE(WeatherData[[#This Row],[Year]],WeatherData[[#This Row],[Month]],WeatherData[[#This Row],[Day]])</f>
        <v>44075</v>
      </c>
      <c r="G246" s="2" t="str">
        <f>TEXT(WeatherData[[#This Row],[Date]], "mmmm")</f>
        <v>September</v>
      </c>
      <c r="H246" s="16">
        <v>0</v>
      </c>
      <c r="I246" s="16">
        <v>19.5</v>
      </c>
      <c r="J246" s="16">
        <v>4.9000000000000004</v>
      </c>
      <c r="K246" s="6">
        <f t="shared" si="6"/>
        <v>14.6</v>
      </c>
      <c r="L246" s="4" t="str">
        <f t="shared" si="7"/>
        <v>Normal</v>
      </c>
    </row>
    <row r="247" spans="1:12" ht="18" customHeight="1" x14ac:dyDescent="0.3">
      <c r="A247" s="1">
        <v>23034</v>
      </c>
      <c r="B247" s="1" t="str">
        <f>VLOOKUP( WeatherData[[#This Row],[Station Number]], 'Station Numbers'!A:B,2,FALSE)</f>
        <v xml:space="preserve">Adelaide Airport </v>
      </c>
      <c r="C247" s="1">
        <v>2020</v>
      </c>
      <c r="D247" s="1">
        <v>9</v>
      </c>
      <c r="E247" s="1">
        <v>2</v>
      </c>
      <c r="F247" s="2">
        <f>DATE(WeatherData[[#This Row],[Year]],WeatherData[[#This Row],[Month]],WeatherData[[#This Row],[Day]])</f>
        <v>44076</v>
      </c>
      <c r="G247" s="2" t="str">
        <f>TEXT(WeatherData[[#This Row],[Date]], "mmmm")</f>
        <v>September</v>
      </c>
      <c r="H247" s="16">
        <v>0</v>
      </c>
      <c r="I247" s="16">
        <v>19.399999999999999</v>
      </c>
      <c r="J247" s="16">
        <v>13.5</v>
      </c>
      <c r="K247" s="6">
        <f t="shared" si="6"/>
        <v>5.8999999999999986</v>
      </c>
      <c r="L247" s="4" t="str">
        <f t="shared" si="7"/>
        <v>Normal</v>
      </c>
    </row>
    <row r="248" spans="1:12" ht="18" customHeight="1" x14ac:dyDescent="0.3">
      <c r="A248" s="1">
        <v>23034</v>
      </c>
      <c r="B248" s="1" t="str">
        <f>VLOOKUP( WeatherData[[#This Row],[Station Number]], 'Station Numbers'!A:B,2,FALSE)</f>
        <v xml:space="preserve">Adelaide Airport </v>
      </c>
      <c r="C248" s="1">
        <v>2020</v>
      </c>
      <c r="D248" s="1">
        <v>9</v>
      </c>
      <c r="E248" s="1">
        <v>3</v>
      </c>
      <c r="F248" s="2">
        <f>DATE(WeatherData[[#This Row],[Year]],WeatherData[[#This Row],[Month]],WeatherData[[#This Row],[Day]])</f>
        <v>44077</v>
      </c>
      <c r="G248" s="2" t="str">
        <f>TEXT(WeatherData[[#This Row],[Date]], "mmmm")</f>
        <v>September</v>
      </c>
      <c r="H248" s="16">
        <v>0.2</v>
      </c>
      <c r="I248" s="16">
        <v>17.3</v>
      </c>
      <c r="J248" s="16">
        <v>9.4</v>
      </c>
      <c r="K248" s="6">
        <f t="shared" si="6"/>
        <v>7.9</v>
      </c>
      <c r="L248" s="4" t="str">
        <f t="shared" si="7"/>
        <v>Normal</v>
      </c>
    </row>
    <row r="249" spans="1:12" ht="18" customHeight="1" x14ac:dyDescent="0.3">
      <c r="A249" s="1">
        <v>23034</v>
      </c>
      <c r="B249" s="1" t="str">
        <f>VLOOKUP( WeatherData[[#This Row],[Station Number]], 'Station Numbers'!A:B,2,FALSE)</f>
        <v xml:space="preserve">Adelaide Airport </v>
      </c>
      <c r="C249" s="1">
        <v>2020</v>
      </c>
      <c r="D249" s="1">
        <v>9</v>
      </c>
      <c r="E249" s="1">
        <v>4</v>
      </c>
      <c r="F249" s="2">
        <f>DATE(WeatherData[[#This Row],[Year]],WeatherData[[#This Row],[Month]],WeatherData[[#This Row],[Day]])</f>
        <v>44078</v>
      </c>
      <c r="G249" s="2" t="str">
        <f>TEXT(WeatherData[[#This Row],[Date]], "mmmm")</f>
        <v>September</v>
      </c>
      <c r="H249" s="16">
        <v>0</v>
      </c>
      <c r="I249" s="16">
        <v>17.8</v>
      </c>
      <c r="J249" s="16">
        <v>8.6</v>
      </c>
      <c r="K249" s="6">
        <f t="shared" si="6"/>
        <v>9.2000000000000011</v>
      </c>
      <c r="L249" s="4" t="str">
        <f t="shared" si="7"/>
        <v>Normal</v>
      </c>
    </row>
    <row r="250" spans="1:12" ht="18" customHeight="1" x14ac:dyDescent="0.3">
      <c r="A250" s="1">
        <v>23034</v>
      </c>
      <c r="B250" s="1" t="str">
        <f>VLOOKUP( WeatherData[[#This Row],[Station Number]], 'Station Numbers'!A:B,2,FALSE)</f>
        <v xml:space="preserve">Adelaide Airport </v>
      </c>
      <c r="C250" s="1">
        <v>2020</v>
      </c>
      <c r="D250" s="1">
        <v>9</v>
      </c>
      <c r="E250" s="1">
        <v>5</v>
      </c>
      <c r="F250" s="2">
        <f>DATE(WeatherData[[#This Row],[Year]],WeatherData[[#This Row],[Month]],WeatherData[[#This Row],[Day]])</f>
        <v>44079</v>
      </c>
      <c r="G250" s="2" t="str">
        <f>TEXT(WeatherData[[#This Row],[Date]], "mmmm")</f>
        <v>September</v>
      </c>
      <c r="H250" s="16">
        <v>2</v>
      </c>
      <c r="I250" s="16">
        <v>18.600000000000001</v>
      </c>
      <c r="J250" s="16">
        <v>12</v>
      </c>
      <c r="K250" s="6">
        <f t="shared" si="6"/>
        <v>6.6000000000000014</v>
      </c>
      <c r="L250" s="4" t="str">
        <f t="shared" si="7"/>
        <v>Normal</v>
      </c>
    </row>
    <row r="251" spans="1:12" ht="18" customHeight="1" x14ac:dyDescent="0.3">
      <c r="A251" s="1">
        <v>23034</v>
      </c>
      <c r="B251" s="1" t="str">
        <f>VLOOKUP( WeatherData[[#This Row],[Station Number]], 'Station Numbers'!A:B,2,FALSE)</f>
        <v xml:space="preserve">Adelaide Airport </v>
      </c>
      <c r="C251" s="1">
        <v>2020</v>
      </c>
      <c r="D251" s="1">
        <v>9</v>
      </c>
      <c r="E251" s="1">
        <v>6</v>
      </c>
      <c r="F251" s="2">
        <f>DATE(WeatherData[[#This Row],[Year]],WeatherData[[#This Row],[Month]],WeatherData[[#This Row],[Day]])</f>
        <v>44080</v>
      </c>
      <c r="G251" s="2" t="str">
        <f>TEXT(WeatherData[[#This Row],[Date]], "mmmm")</f>
        <v>September</v>
      </c>
      <c r="H251" s="16">
        <v>0</v>
      </c>
      <c r="I251" s="16">
        <v>24.4</v>
      </c>
      <c r="J251" s="16">
        <v>7.2</v>
      </c>
      <c r="K251" s="6">
        <f t="shared" si="6"/>
        <v>17.2</v>
      </c>
      <c r="L251" s="4" t="str">
        <f t="shared" si="7"/>
        <v>Normal</v>
      </c>
    </row>
    <row r="252" spans="1:12" ht="18" customHeight="1" x14ac:dyDescent="0.3">
      <c r="A252" s="1">
        <v>23034</v>
      </c>
      <c r="B252" s="1" t="str">
        <f>VLOOKUP( WeatherData[[#This Row],[Station Number]], 'Station Numbers'!A:B,2,FALSE)</f>
        <v xml:space="preserve">Adelaide Airport </v>
      </c>
      <c r="C252" s="1">
        <v>2020</v>
      </c>
      <c r="D252" s="1">
        <v>9</v>
      </c>
      <c r="E252" s="1">
        <v>7</v>
      </c>
      <c r="F252" s="2">
        <f>DATE(WeatherData[[#This Row],[Year]],WeatherData[[#This Row],[Month]],WeatherData[[#This Row],[Day]])</f>
        <v>44081</v>
      </c>
      <c r="G252" s="2" t="str">
        <f>TEXT(WeatherData[[#This Row],[Date]], "mmmm")</f>
        <v>September</v>
      </c>
      <c r="H252" s="16">
        <v>0</v>
      </c>
      <c r="I252" s="16">
        <v>30.2</v>
      </c>
      <c r="J252" s="16">
        <v>15.8</v>
      </c>
      <c r="K252" s="6">
        <f t="shared" si="6"/>
        <v>14.399999999999999</v>
      </c>
      <c r="L252" s="4" t="str">
        <f t="shared" si="7"/>
        <v>Normal</v>
      </c>
    </row>
    <row r="253" spans="1:12" ht="18" customHeight="1" x14ac:dyDescent="0.3">
      <c r="A253" s="1">
        <v>23034</v>
      </c>
      <c r="B253" s="1" t="str">
        <f>VLOOKUP( WeatherData[[#This Row],[Station Number]], 'Station Numbers'!A:B,2,FALSE)</f>
        <v xml:space="preserve">Adelaide Airport </v>
      </c>
      <c r="C253" s="1">
        <v>2020</v>
      </c>
      <c r="D253" s="1">
        <v>9</v>
      </c>
      <c r="E253" s="1">
        <v>8</v>
      </c>
      <c r="F253" s="2">
        <f>DATE(WeatherData[[#This Row],[Year]],WeatherData[[#This Row],[Month]],WeatherData[[#This Row],[Day]])</f>
        <v>44082</v>
      </c>
      <c r="G253" s="2" t="str">
        <f>TEXT(WeatherData[[#This Row],[Date]], "mmmm")</f>
        <v>September</v>
      </c>
      <c r="H253" s="16">
        <v>0</v>
      </c>
      <c r="I253" s="16">
        <v>16.8</v>
      </c>
      <c r="J253" s="16">
        <v>15</v>
      </c>
      <c r="K253" s="6">
        <f t="shared" si="6"/>
        <v>1.8000000000000007</v>
      </c>
      <c r="L253" s="4" t="str">
        <f t="shared" si="7"/>
        <v>Normal</v>
      </c>
    </row>
    <row r="254" spans="1:12" ht="18" customHeight="1" x14ac:dyDescent="0.3">
      <c r="A254" s="1">
        <v>23034</v>
      </c>
      <c r="B254" s="1" t="str">
        <f>VLOOKUP( WeatherData[[#This Row],[Station Number]], 'Station Numbers'!A:B,2,FALSE)</f>
        <v xml:space="preserve">Adelaide Airport </v>
      </c>
      <c r="C254" s="1">
        <v>2020</v>
      </c>
      <c r="D254" s="1">
        <v>9</v>
      </c>
      <c r="E254" s="1">
        <v>9</v>
      </c>
      <c r="F254" s="2">
        <f>DATE(WeatherData[[#This Row],[Year]],WeatherData[[#This Row],[Month]],WeatherData[[#This Row],[Day]])</f>
        <v>44083</v>
      </c>
      <c r="G254" s="2" t="str">
        <f>TEXT(WeatherData[[#This Row],[Date]], "mmmm")</f>
        <v>September</v>
      </c>
      <c r="H254" s="16">
        <v>0</v>
      </c>
      <c r="I254" s="16">
        <v>20.399999999999999</v>
      </c>
      <c r="J254" s="16">
        <v>9.6999999999999993</v>
      </c>
      <c r="K254" s="6">
        <f t="shared" si="6"/>
        <v>10.7</v>
      </c>
      <c r="L254" s="4" t="str">
        <f t="shared" si="7"/>
        <v>Normal</v>
      </c>
    </row>
    <row r="255" spans="1:12" ht="18" customHeight="1" x14ac:dyDescent="0.3">
      <c r="A255" s="1">
        <v>23034</v>
      </c>
      <c r="B255" s="1" t="str">
        <f>VLOOKUP( WeatherData[[#This Row],[Station Number]], 'Station Numbers'!A:B,2,FALSE)</f>
        <v xml:space="preserve">Adelaide Airport </v>
      </c>
      <c r="C255" s="1">
        <v>2020</v>
      </c>
      <c r="D255" s="1">
        <v>9</v>
      </c>
      <c r="E255" s="1">
        <v>10</v>
      </c>
      <c r="F255" s="2">
        <f>DATE(WeatherData[[#This Row],[Year]],WeatherData[[#This Row],[Month]],WeatherData[[#This Row],[Day]])</f>
        <v>44084</v>
      </c>
      <c r="G255" s="2" t="str">
        <f>TEXT(WeatherData[[#This Row],[Date]], "mmmm")</f>
        <v>September</v>
      </c>
      <c r="H255" s="16">
        <v>0</v>
      </c>
      <c r="I255" s="16">
        <v>24.4</v>
      </c>
      <c r="J255" s="16">
        <v>9.6999999999999993</v>
      </c>
      <c r="K255" s="6">
        <f t="shared" si="6"/>
        <v>14.7</v>
      </c>
      <c r="L255" s="4" t="str">
        <f t="shared" si="7"/>
        <v>Normal</v>
      </c>
    </row>
    <row r="256" spans="1:12" ht="18" customHeight="1" x14ac:dyDescent="0.3">
      <c r="A256" s="1">
        <v>23034</v>
      </c>
      <c r="B256" s="1" t="str">
        <f>VLOOKUP( WeatherData[[#This Row],[Station Number]], 'Station Numbers'!A:B,2,FALSE)</f>
        <v xml:space="preserve">Adelaide Airport </v>
      </c>
      <c r="C256" s="1">
        <v>2020</v>
      </c>
      <c r="D256" s="1">
        <v>9</v>
      </c>
      <c r="E256" s="1">
        <v>11</v>
      </c>
      <c r="F256" s="2">
        <f>DATE(WeatherData[[#This Row],[Year]],WeatherData[[#This Row],[Month]],WeatherData[[#This Row],[Day]])</f>
        <v>44085</v>
      </c>
      <c r="G256" s="2" t="str">
        <f>TEXT(WeatherData[[#This Row],[Date]], "mmmm")</f>
        <v>September</v>
      </c>
      <c r="H256" s="16">
        <v>0</v>
      </c>
      <c r="I256" s="16">
        <v>28.7</v>
      </c>
      <c r="J256" s="16">
        <v>16.399999999999999</v>
      </c>
      <c r="K256" s="6">
        <f t="shared" si="6"/>
        <v>12.3</v>
      </c>
      <c r="L256" s="4" t="str">
        <f t="shared" si="7"/>
        <v>Normal</v>
      </c>
    </row>
    <row r="257" spans="1:12" ht="18" customHeight="1" x14ac:dyDescent="0.3">
      <c r="A257" s="1">
        <v>23034</v>
      </c>
      <c r="B257" s="1" t="str">
        <f>VLOOKUP( WeatherData[[#This Row],[Station Number]], 'Station Numbers'!A:B,2,FALSE)</f>
        <v xml:space="preserve">Adelaide Airport </v>
      </c>
      <c r="C257" s="1">
        <v>2020</v>
      </c>
      <c r="D257" s="1">
        <v>9</v>
      </c>
      <c r="E257" s="1">
        <v>12</v>
      </c>
      <c r="F257" s="2">
        <f>DATE(WeatherData[[#This Row],[Year]],WeatherData[[#This Row],[Month]],WeatherData[[#This Row],[Day]])</f>
        <v>44086</v>
      </c>
      <c r="G257" s="2" t="str">
        <f>TEXT(WeatherData[[#This Row],[Date]], "mmmm")</f>
        <v>September</v>
      </c>
      <c r="H257" s="16">
        <v>0</v>
      </c>
      <c r="I257" s="16">
        <v>23.7</v>
      </c>
      <c r="J257" s="16">
        <v>16.100000000000001</v>
      </c>
      <c r="K257" s="6">
        <f t="shared" si="6"/>
        <v>7.5999999999999979</v>
      </c>
      <c r="L257" s="4" t="str">
        <f t="shared" si="7"/>
        <v>Normal</v>
      </c>
    </row>
    <row r="258" spans="1:12" ht="18" customHeight="1" x14ac:dyDescent="0.3">
      <c r="A258" s="1">
        <v>23034</v>
      </c>
      <c r="B258" s="1" t="str">
        <f>VLOOKUP( WeatherData[[#This Row],[Station Number]], 'Station Numbers'!A:B,2,FALSE)</f>
        <v xml:space="preserve">Adelaide Airport </v>
      </c>
      <c r="C258" s="1">
        <v>2020</v>
      </c>
      <c r="D258" s="1">
        <v>9</v>
      </c>
      <c r="E258" s="1">
        <v>13</v>
      </c>
      <c r="F258" s="2">
        <f>DATE(WeatherData[[#This Row],[Year]],WeatherData[[#This Row],[Month]],WeatherData[[#This Row],[Day]])</f>
        <v>44087</v>
      </c>
      <c r="G258" s="2" t="str">
        <f>TEXT(WeatherData[[#This Row],[Date]], "mmmm")</f>
        <v>September</v>
      </c>
      <c r="H258" s="16">
        <v>8.6</v>
      </c>
      <c r="I258" s="16">
        <v>15.4</v>
      </c>
      <c r="J258" s="16">
        <v>9.6999999999999993</v>
      </c>
      <c r="K258" s="6">
        <f t="shared" ref="K258:K321" si="8">I258-J258</f>
        <v>5.7000000000000011</v>
      </c>
      <c r="L258" s="4" t="str">
        <f t="shared" ref="L258:L321" si="9">IF(AND(I258&gt;35, H258&gt;20), "Heatwave + Rain",
   IF(I258&gt;35, "Heatwave",
   IF(H258&gt;20, "Heavy Rain",
   IF(I258&lt;10, "Cold",
   "Normal"))))</f>
        <v>Normal</v>
      </c>
    </row>
    <row r="259" spans="1:12" ht="18" customHeight="1" x14ac:dyDescent="0.3">
      <c r="A259" s="1">
        <v>23034</v>
      </c>
      <c r="B259" s="1" t="str">
        <f>VLOOKUP( WeatherData[[#This Row],[Station Number]], 'Station Numbers'!A:B,2,FALSE)</f>
        <v xml:space="preserve">Adelaide Airport </v>
      </c>
      <c r="C259" s="1">
        <v>2020</v>
      </c>
      <c r="D259" s="1">
        <v>9</v>
      </c>
      <c r="E259" s="1">
        <v>14</v>
      </c>
      <c r="F259" s="2">
        <f>DATE(WeatherData[[#This Row],[Year]],WeatherData[[#This Row],[Month]],WeatherData[[#This Row],[Day]])</f>
        <v>44088</v>
      </c>
      <c r="G259" s="2" t="str">
        <f>TEXT(WeatherData[[#This Row],[Date]], "mmmm")</f>
        <v>September</v>
      </c>
      <c r="H259" s="16">
        <v>0.2</v>
      </c>
      <c r="I259" s="16">
        <v>16.5</v>
      </c>
      <c r="J259" s="16">
        <v>8.6999999999999993</v>
      </c>
      <c r="K259" s="6">
        <f t="shared" si="8"/>
        <v>7.8000000000000007</v>
      </c>
      <c r="L259" s="4" t="str">
        <f t="shared" si="9"/>
        <v>Normal</v>
      </c>
    </row>
    <row r="260" spans="1:12" ht="18" customHeight="1" x14ac:dyDescent="0.3">
      <c r="A260" s="1">
        <v>23034</v>
      </c>
      <c r="B260" s="1" t="str">
        <f>VLOOKUP( WeatherData[[#This Row],[Station Number]], 'Station Numbers'!A:B,2,FALSE)</f>
        <v xml:space="preserve">Adelaide Airport </v>
      </c>
      <c r="C260" s="1">
        <v>2020</v>
      </c>
      <c r="D260" s="1">
        <v>9</v>
      </c>
      <c r="E260" s="1">
        <v>15</v>
      </c>
      <c r="F260" s="2">
        <f>DATE(WeatherData[[#This Row],[Year]],WeatherData[[#This Row],[Month]],WeatherData[[#This Row],[Day]])</f>
        <v>44089</v>
      </c>
      <c r="G260" s="2" t="str">
        <f>TEXT(WeatherData[[#This Row],[Date]], "mmmm")</f>
        <v>September</v>
      </c>
      <c r="H260" s="16">
        <v>0</v>
      </c>
      <c r="I260" s="16">
        <v>18.100000000000001</v>
      </c>
      <c r="J260" s="16">
        <v>5.2</v>
      </c>
      <c r="K260" s="6">
        <f t="shared" si="8"/>
        <v>12.900000000000002</v>
      </c>
      <c r="L260" s="4" t="str">
        <f t="shared" si="9"/>
        <v>Normal</v>
      </c>
    </row>
    <row r="261" spans="1:12" ht="18" customHeight="1" x14ac:dyDescent="0.3">
      <c r="A261" s="1">
        <v>23034</v>
      </c>
      <c r="B261" s="1" t="str">
        <f>VLOOKUP( WeatherData[[#This Row],[Station Number]], 'Station Numbers'!A:B,2,FALSE)</f>
        <v xml:space="preserve">Adelaide Airport </v>
      </c>
      <c r="C261" s="1">
        <v>2020</v>
      </c>
      <c r="D261" s="1">
        <v>9</v>
      </c>
      <c r="E261" s="1">
        <v>16</v>
      </c>
      <c r="F261" s="2">
        <f>DATE(WeatherData[[#This Row],[Year]],WeatherData[[#This Row],[Month]],WeatherData[[#This Row],[Day]])</f>
        <v>44090</v>
      </c>
      <c r="G261" s="2" t="str">
        <f>TEXT(WeatherData[[#This Row],[Date]], "mmmm")</f>
        <v>September</v>
      </c>
      <c r="H261" s="16">
        <v>0</v>
      </c>
      <c r="I261" s="16">
        <v>27.1</v>
      </c>
      <c r="J261" s="16">
        <v>9</v>
      </c>
      <c r="K261" s="6">
        <f t="shared" si="8"/>
        <v>18.100000000000001</v>
      </c>
      <c r="L261" s="4" t="str">
        <f t="shared" si="9"/>
        <v>Normal</v>
      </c>
    </row>
    <row r="262" spans="1:12" ht="18" customHeight="1" x14ac:dyDescent="0.3">
      <c r="A262" s="1">
        <v>23034</v>
      </c>
      <c r="B262" s="1" t="str">
        <f>VLOOKUP( WeatherData[[#This Row],[Station Number]], 'Station Numbers'!A:B,2,FALSE)</f>
        <v xml:space="preserve">Adelaide Airport </v>
      </c>
      <c r="C262" s="1">
        <v>2020</v>
      </c>
      <c r="D262" s="1">
        <v>9</v>
      </c>
      <c r="E262" s="1">
        <v>17</v>
      </c>
      <c r="F262" s="2">
        <f>DATE(WeatherData[[#This Row],[Year]],WeatherData[[#This Row],[Month]],WeatherData[[#This Row],[Day]])</f>
        <v>44091</v>
      </c>
      <c r="G262" s="2" t="str">
        <f>TEXT(WeatherData[[#This Row],[Date]], "mmmm")</f>
        <v>September</v>
      </c>
      <c r="H262" s="16">
        <v>0</v>
      </c>
      <c r="I262" s="16">
        <v>23.1</v>
      </c>
      <c r="J262" s="16">
        <v>15.8</v>
      </c>
      <c r="K262" s="6">
        <f t="shared" si="8"/>
        <v>7.3000000000000007</v>
      </c>
      <c r="L262" s="4" t="str">
        <f t="shared" si="9"/>
        <v>Normal</v>
      </c>
    </row>
    <row r="263" spans="1:12" ht="18" customHeight="1" x14ac:dyDescent="0.3">
      <c r="A263" s="1">
        <v>23034</v>
      </c>
      <c r="B263" s="1" t="str">
        <f>VLOOKUP( WeatherData[[#This Row],[Station Number]], 'Station Numbers'!A:B,2,FALSE)</f>
        <v xml:space="preserve">Adelaide Airport </v>
      </c>
      <c r="C263" s="1">
        <v>2020</v>
      </c>
      <c r="D263" s="1">
        <v>9</v>
      </c>
      <c r="E263" s="1">
        <v>18</v>
      </c>
      <c r="F263" s="2">
        <f>DATE(WeatherData[[#This Row],[Year]],WeatherData[[#This Row],[Month]],WeatherData[[#This Row],[Day]])</f>
        <v>44092</v>
      </c>
      <c r="G263" s="2" t="str">
        <f>TEXT(WeatherData[[#This Row],[Date]], "mmmm")</f>
        <v>September</v>
      </c>
      <c r="H263" s="16">
        <v>0</v>
      </c>
      <c r="I263" s="16">
        <v>29.6</v>
      </c>
      <c r="J263" s="16">
        <v>15.4</v>
      </c>
      <c r="K263" s="6">
        <f t="shared" si="8"/>
        <v>14.200000000000001</v>
      </c>
      <c r="L263" s="4" t="str">
        <f t="shared" si="9"/>
        <v>Normal</v>
      </c>
    </row>
    <row r="264" spans="1:12" ht="18" customHeight="1" x14ac:dyDescent="0.3">
      <c r="A264" s="1">
        <v>23034</v>
      </c>
      <c r="B264" s="1" t="str">
        <f>VLOOKUP( WeatherData[[#This Row],[Station Number]], 'Station Numbers'!A:B,2,FALSE)</f>
        <v xml:space="preserve">Adelaide Airport </v>
      </c>
      <c r="C264" s="1">
        <v>2020</v>
      </c>
      <c r="D264" s="1">
        <v>9</v>
      </c>
      <c r="E264" s="1">
        <v>19</v>
      </c>
      <c r="F264" s="2">
        <f>DATE(WeatherData[[#This Row],[Year]],WeatherData[[#This Row],[Month]],WeatherData[[#This Row],[Day]])</f>
        <v>44093</v>
      </c>
      <c r="G264" s="2" t="str">
        <f>TEXT(WeatherData[[#This Row],[Date]], "mmmm")</f>
        <v>September</v>
      </c>
      <c r="H264" s="16">
        <v>0</v>
      </c>
      <c r="I264" s="16">
        <v>25.1</v>
      </c>
      <c r="J264" s="16">
        <v>17.600000000000001</v>
      </c>
      <c r="K264" s="6">
        <f t="shared" si="8"/>
        <v>7.5</v>
      </c>
      <c r="L264" s="4" t="str">
        <f t="shared" si="9"/>
        <v>Normal</v>
      </c>
    </row>
    <row r="265" spans="1:12" ht="18" customHeight="1" x14ac:dyDescent="0.3">
      <c r="A265" s="1">
        <v>23034</v>
      </c>
      <c r="B265" s="1" t="str">
        <f>VLOOKUP( WeatherData[[#This Row],[Station Number]], 'Station Numbers'!A:B,2,FALSE)</f>
        <v xml:space="preserve">Adelaide Airport </v>
      </c>
      <c r="C265" s="1">
        <v>2020</v>
      </c>
      <c r="D265" s="1">
        <v>9</v>
      </c>
      <c r="E265" s="1">
        <v>20</v>
      </c>
      <c r="F265" s="2">
        <f>DATE(WeatherData[[#This Row],[Year]],WeatherData[[#This Row],[Month]],WeatherData[[#This Row],[Day]])</f>
        <v>44094</v>
      </c>
      <c r="G265" s="2" t="str">
        <f>TEXT(WeatherData[[#This Row],[Date]], "mmmm")</f>
        <v>September</v>
      </c>
      <c r="H265" s="16">
        <v>0</v>
      </c>
      <c r="I265" s="16">
        <v>27.5</v>
      </c>
      <c r="J265" s="16">
        <v>14</v>
      </c>
      <c r="K265" s="6">
        <f t="shared" si="8"/>
        <v>13.5</v>
      </c>
      <c r="L265" s="4" t="str">
        <f t="shared" si="9"/>
        <v>Normal</v>
      </c>
    </row>
    <row r="266" spans="1:12" ht="18" customHeight="1" x14ac:dyDescent="0.3">
      <c r="A266" s="1">
        <v>23034</v>
      </c>
      <c r="B266" s="1" t="str">
        <f>VLOOKUP( WeatherData[[#This Row],[Station Number]], 'Station Numbers'!A:B,2,FALSE)</f>
        <v xml:space="preserve">Adelaide Airport </v>
      </c>
      <c r="C266" s="1">
        <v>2020</v>
      </c>
      <c r="D266" s="1">
        <v>9</v>
      </c>
      <c r="E266" s="1">
        <v>21</v>
      </c>
      <c r="F266" s="2">
        <f>DATE(WeatherData[[#This Row],[Year]],WeatherData[[#This Row],[Month]],WeatherData[[#This Row],[Day]])</f>
        <v>44095</v>
      </c>
      <c r="G266" s="2" t="str">
        <f>TEXT(WeatherData[[#This Row],[Date]], "mmmm")</f>
        <v>September</v>
      </c>
      <c r="H266" s="16">
        <v>0.6</v>
      </c>
      <c r="I266" s="16">
        <v>19.100000000000001</v>
      </c>
      <c r="J266" s="16">
        <v>10.3</v>
      </c>
      <c r="K266" s="6">
        <f t="shared" si="8"/>
        <v>8.8000000000000007</v>
      </c>
      <c r="L266" s="4" t="str">
        <f t="shared" si="9"/>
        <v>Normal</v>
      </c>
    </row>
    <row r="267" spans="1:12" ht="18" customHeight="1" x14ac:dyDescent="0.3">
      <c r="A267" s="1">
        <v>23034</v>
      </c>
      <c r="B267" s="1" t="str">
        <f>VLOOKUP( WeatherData[[#This Row],[Station Number]], 'Station Numbers'!A:B,2,FALSE)</f>
        <v xml:space="preserve">Adelaide Airport </v>
      </c>
      <c r="C267" s="1">
        <v>2020</v>
      </c>
      <c r="D267" s="1">
        <v>9</v>
      </c>
      <c r="E267" s="1">
        <v>22</v>
      </c>
      <c r="F267" s="2">
        <f>DATE(WeatherData[[#This Row],[Year]],WeatherData[[#This Row],[Month]],WeatherData[[#This Row],[Day]])</f>
        <v>44096</v>
      </c>
      <c r="G267" s="2" t="str">
        <f>TEXT(WeatherData[[#This Row],[Date]], "mmmm")</f>
        <v>September</v>
      </c>
      <c r="H267" s="16">
        <v>2.8</v>
      </c>
      <c r="I267" s="16">
        <v>16.2</v>
      </c>
      <c r="J267" s="16">
        <v>11.5</v>
      </c>
      <c r="K267" s="6">
        <f t="shared" si="8"/>
        <v>4.6999999999999993</v>
      </c>
      <c r="L267" s="4" t="str">
        <f t="shared" si="9"/>
        <v>Normal</v>
      </c>
    </row>
    <row r="268" spans="1:12" ht="18" customHeight="1" x14ac:dyDescent="0.3">
      <c r="A268" s="1">
        <v>23034</v>
      </c>
      <c r="B268" s="1" t="str">
        <f>VLOOKUP( WeatherData[[#This Row],[Station Number]], 'Station Numbers'!A:B,2,FALSE)</f>
        <v xml:space="preserve">Adelaide Airport </v>
      </c>
      <c r="C268" s="1">
        <v>2020</v>
      </c>
      <c r="D268" s="1">
        <v>9</v>
      </c>
      <c r="E268" s="1">
        <v>23</v>
      </c>
      <c r="F268" s="2">
        <f>DATE(WeatherData[[#This Row],[Year]],WeatherData[[#This Row],[Month]],WeatherData[[#This Row],[Day]])</f>
        <v>44097</v>
      </c>
      <c r="G268" s="2" t="str">
        <f>TEXT(WeatherData[[#This Row],[Date]], "mmmm")</f>
        <v>September</v>
      </c>
      <c r="H268" s="16">
        <v>4.4000000000000004</v>
      </c>
      <c r="I268" s="16">
        <v>15.8</v>
      </c>
      <c r="J268" s="16">
        <v>10.8</v>
      </c>
      <c r="K268" s="6">
        <f t="shared" si="8"/>
        <v>5</v>
      </c>
      <c r="L268" s="4" t="str">
        <f t="shared" si="9"/>
        <v>Normal</v>
      </c>
    </row>
    <row r="269" spans="1:12" ht="18" customHeight="1" x14ac:dyDescent="0.3">
      <c r="A269" s="1">
        <v>23034</v>
      </c>
      <c r="B269" s="1" t="str">
        <f>VLOOKUP( WeatherData[[#This Row],[Station Number]], 'Station Numbers'!A:B,2,FALSE)</f>
        <v xml:space="preserve">Adelaide Airport </v>
      </c>
      <c r="C269" s="1">
        <v>2020</v>
      </c>
      <c r="D269" s="1">
        <v>9</v>
      </c>
      <c r="E269" s="1">
        <v>24</v>
      </c>
      <c r="F269" s="2">
        <f>DATE(WeatherData[[#This Row],[Year]],WeatherData[[#This Row],[Month]],WeatherData[[#This Row],[Day]])</f>
        <v>44098</v>
      </c>
      <c r="G269" s="2" t="str">
        <f>TEXT(WeatherData[[#This Row],[Date]], "mmmm")</f>
        <v>September</v>
      </c>
      <c r="H269" s="16">
        <v>0</v>
      </c>
      <c r="I269" s="16">
        <v>15.5</v>
      </c>
      <c r="J269" s="16">
        <v>10.6</v>
      </c>
      <c r="K269" s="6">
        <f t="shared" si="8"/>
        <v>4.9000000000000004</v>
      </c>
      <c r="L269" s="4" t="str">
        <f t="shared" si="9"/>
        <v>Normal</v>
      </c>
    </row>
    <row r="270" spans="1:12" ht="18" customHeight="1" x14ac:dyDescent="0.3">
      <c r="A270" s="1">
        <v>23034</v>
      </c>
      <c r="B270" s="1" t="str">
        <f>VLOOKUP( WeatherData[[#This Row],[Station Number]], 'Station Numbers'!A:B,2,FALSE)</f>
        <v xml:space="preserve">Adelaide Airport </v>
      </c>
      <c r="C270" s="1">
        <v>2020</v>
      </c>
      <c r="D270" s="1">
        <v>9</v>
      </c>
      <c r="E270" s="1">
        <v>25</v>
      </c>
      <c r="F270" s="2">
        <f>DATE(WeatherData[[#This Row],[Year]],WeatherData[[#This Row],[Month]],WeatherData[[#This Row],[Day]])</f>
        <v>44099</v>
      </c>
      <c r="G270" s="2" t="str">
        <f>TEXT(WeatherData[[#This Row],[Date]], "mmmm")</f>
        <v>September</v>
      </c>
      <c r="H270" s="16">
        <v>7.2</v>
      </c>
      <c r="I270" s="16">
        <v>14</v>
      </c>
      <c r="J270" s="16">
        <v>5.7</v>
      </c>
      <c r="K270" s="6">
        <f t="shared" si="8"/>
        <v>8.3000000000000007</v>
      </c>
      <c r="L270" s="4" t="str">
        <f t="shared" si="9"/>
        <v>Normal</v>
      </c>
    </row>
    <row r="271" spans="1:12" ht="18" customHeight="1" x14ac:dyDescent="0.3">
      <c r="A271" s="1">
        <v>23034</v>
      </c>
      <c r="B271" s="1" t="str">
        <f>VLOOKUP( WeatherData[[#This Row],[Station Number]], 'Station Numbers'!A:B,2,FALSE)</f>
        <v xml:space="preserve">Adelaide Airport </v>
      </c>
      <c r="C271" s="1">
        <v>2020</v>
      </c>
      <c r="D271" s="1">
        <v>9</v>
      </c>
      <c r="E271" s="1">
        <v>26</v>
      </c>
      <c r="F271" s="2">
        <f>DATE(WeatherData[[#This Row],[Year]],WeatherData[[#This Row],[Month]],WeatherData[[#This Row],[Day]])</f>
        <v>44100</v>
      </c>
      <c r="G271" s="2" t="str">
        <f>TEXT(WeatherData[[#This Row],[Date]], "mmmm")</f>
        <v>September</v>
      </c>
      <c r="H271" s="16">
        <v>2.2000000000000002</v>
      </c>
      <c r="I271" s="16">
        <v>14.9</v>
      </c>
      <c r="J271" s="16">
        <v>5.2</v>
      </c>
      <c r="K271" s="6">
        <f t="shared" si="8"/>
        <v>9.6999999999999993</v>
      </c>
      <c r="L271" s="4" t="str">
        <f t="shared" si="9"/>
        <v>Normal</v>
      </c>
    </row>
    <row r="272" spans="1:12" ht="18" customHeight="1" x14ac:dyDescent="0.3">
      <c r="A272" s="1">
        <v>23034</v>
      </c>
      <c r="B272" s="1" t="str">
        <f>VLOOKUP( WeatherData[[#This Row],[Station Number]], 'Station Numbers'!A:B,2,FALSE)</f>
        <v xml:space="preserve">Adelaide Airport </v>
      </c>
      <c r="C272" s="1">
        <v>2020</v>
      </c>
      <c r="D272" s="1">
        <v>9</v>
      </c>
      <c r="E272" s="1">
        <v>27</v>
      </c>
      <c r="F272" s="2">
        <f>DATE(WeatherData[[#This Row],[Year]],WeatherData[[#This Row],[Month]],WeatherData[[#This Row],[Day]])</f>
        <v>44101</v>
      </c>
      <c r="G272" s="2" t="str">
        <f>TEXT(WeatherData[[#This Row],[Date]], "mmmm")</f>
        <v>September</v>
      </c>
      <c r="H272" s="16">
        <v>0</v>
      </c>
      <c r="I272" s="16">
        <v>17</v>
      </c>
      <c r="J272" s="16">
        <v>4.3</v>
      </c>
      <c r="K272" s="6">
        <f t="shared" si="8"/>
        <v>12.7</v>
      </c>
      <c r="L272" s="4" t="str">
        <f t="shared" si="9"/>
        <v>Normal</v>
      </c>
    </row>
    <row r="273" spans="1:12" ht="18" customHeight="1" x14ac:dyDescent="0.3">
      <c r="A273" s="1">
        <v>23034</v>
      </c>
      <c r="B273" s="1" t="str">
        <f>VLOOKUP( WeatherData[[#This Row],[Station Number]], 'Station Numbers'!A:B,2,FALSE)</f>
        <v xml:space="preserve">Adelaide Airport </v>
      </c>
      <c r="C273" s="1">
        <v>2020</v>
      </c>
      <c r="D273" s="1">
        <v>9</v>
      </c>
      <c r="E273" s="1">
        <v>28</v>
      </c>
      <c r="F273" s="2">
        <f>DATE(WeatherData[[#This Row],[Year]],WeatherData[[#This Row],[Month]],WeatherData[[#This Row],[Day]])</f>
        <v>44102</v>
      </c>
      <c r="G273" s="2" t="str">
        <f>TEXT(WeatherData[[#This Row],[Date]], "mmmm")</f>
        <v>September</v>
      </c>
      <c r="H273" s="16">
        <v>0</v>
      </c>
      <c r="I273" s="16">
        <v>22.4</v>
      </c>
      <c r="J273" s="16">
        <v>11.3</v>
      </c>
      <c r="K273" s="6">
        <f t="shared" si="8"/>
        <v>11.099999999999998</v>
      </c>
      <c r="L273" s="4" t="str">
        <f t="shared" si="9"/>
        <v>Normal</v>
      </c>
    </row>
    <row r="274" spans="1:12" ht="18" customHeight="1" x14ac:dyDescent="0.3">
      <c r="A274" s="1">
        <v>23034</v>
      </c>
      <c r="B274" s="1" t="str">
        <f>VLOOKUP( WeatherData[[#This Row],[Station Number]], 'Station Numbers'!A:B,2,FALSE)</f>
        <v xml:space="preserve">Adelaide Airport </v>
      </c>
      <c r="C274" s="1">
        <v>2020</v>
      </c>
      <c r="D274" s="1">
        <v>9</v>
      </c>
      <c r="E274" s="1">
        <v>29</v>
      </c>
      <c r="F274" s="2">
        <f>DATE(WeatherData[[#This Row],[Year]],WeatherData[[#This Row],[Month]],WeatherData[[#This Row],[Day]])</f>
        <v>44103</v>
      </c>
      <c r="G274" s="2" t="str">
        <f>TEXT(WeatherData[[#This Row],[Date]], "mmmm")</f>
        <v>September</v>
      </c>
      <c r="H274" s="16">
        <v>0</v>
      </c>
      <c r="I274" s="16">
        <v>20.2</v>
      </c>
      <c r="J274" s="16">
        <v>14.6</v>
      </c>
      <c r="K274" s="6">
        <f t="shared" si="8"/>
        <v>5.6</v>
      </c>
      <c r="L274" s="4" t="str">
        <f t="shared" si="9"/>
        <v>Normal</v>
      </c>
    </row>
    <row r="275" spans="1:12" ht="18" customHeight="1" x14ac:dyDescent="0.3">
      <c r="A275" s="1">
        <v>23034</v>
      </c>
      <c r="B275" s="1" t="str">
        <f>VLOOKUP( WeatherData[[#This Row],[Station Number]], 'Station Numbers'!A:B,2,FALSE)</f>
        <v xml:space="preserve">Adelaide Airport </v>
      </c>
      <c r="C275" s="1">
        <v>2020</v>
      </c>
      <c r="D275" s="1">
        <v>9</v>
      </c>
      <c r="E275" s="1">
        <v>30</v>
      </c>
      <c r="F275" s="2">
        <f>DATE(WeatherData[[#This Row],[Year]],WeatherData[[#This Row],[Month]],WeatherData[[#This Row],[Day]])</f>
        <v>44104</v>
      </c>
      <c r="G275" s="2" t="str">
        <f>TEXT(WeatherData[[#This Row],[Date]], "mmmm")</f>
        <v>September</v>
      </c>
      <c r="H275" s="16">
        <v>14</v>
      </c>
      <c r="I275" s="16">
        <v>16.5</v>
      </c>
      <c r="J275" s="16">
        <v>13.2</v>
      </c>
      <c r="K275" s="6">
        <f t="shared" si="8"/>
        <v>3.3000000000000007</v>
      </c>
      <c r="L275" s="4" t="str">
        <f t="shared" si="9"/>
        <v>Normal</v>
      </c>
    </row>
    <row r="276" spans="1:12" ht="18" customHeight="1" x14ac:dyDescent="0.3">
      <c r="A276" s="1">
        <v>23034</v>
      </c>
      <c r="B276" s="1" t="str">
        <f>VLOOKUP( WeatherData[[#This Row],[Station Number]], 'Station Numbers'!A:B,2,FALSE)</f>
        <v xml:space="preserve">Adelaide Airport </v>
      </c>
      <c r="C276" s="1">
        <v>2020</v>
      </c>
      <c r="D276" s="1">
        <v>10</v>
      </c>
      <c r="E276" s="1">
        <v>1</v>
      </c>
      <c r="F276" s="2">
        <f>DATE(WeatherData[[#This Row],[Year]],WeatherData[[#This Row],[Month]],WeatherData[[#This Row],[Day]])</f>
        <v>44105</v>
      </c>
      <c r="G276" s="2" t="str">
        <f>TEXT(WeatherData[[#This Row],[Date]], "mmmm")</f>
        <v>October</v>
      </c>
      <c r="H276" s="16">
        <v>0.8</v>
      </c>
      <c r="I276" s="16">
        <v>24.6</v>
      </c>
      <c r="J276" s="16">
        <v>6.3</v>
      </c>
      <c r="K276" s="6">
        <f t="shared" si="8"/>
        <v>18.3</v>
      </c>
      <c r="L276" s="4" t="str">
        <f t="shared" si="9"/>
        <v>Normal</v>
      </c>
    </row>
    <row r="277" spans="1:12" ht="18" customHeight="1" x14ac:dyDescent="0.3">
      <c r="A277" s="1">
        <v>23034</v>
      </c>
      <c r="B277" s="1" t="str">
        <f>VLOOKUP( WeatherData[[#This Row],[Station Number]], 'Station Numbers'!A:B,2,FALSE)</f>
        <v xml:space="preserve">Adelaide Airport </v>
      </c>
      <c r="C277" s="1">
        <v>2020</v>
      </c>
      <c r="D277" s="1">
        <v>10</v>
      </c>
      <c r="E277" s="1">
        <v>2</v>
      </c>
      <c r="F277" s="2">
        <f>DATE(WeatherData[[#This Row],[Year]],WeatherData[[#This Row],[Month]],WeatherData[[#This Row],[Day]])</f>
        <v>44106</v>
      </c>
      <c r="G277" s="2" t="str">
        <f>TEXT(WeatherData[[#This Row],[Date]], "mmmm")</f>
        <v>October</v>
      </c>
      <c r="H277" s="16">
        <v>0.2</v>
      </c>
      <c r="I277" s="16">
        <v>30.9</v>
      </c>
      <c r="J277" s="16">
        <v>13.2</v>
      </c>
      <c r="K277" s="6">
        <f t="shared" si="8"/>
        <v>17.7</v>
      </c>
      <c r="L277" s="4" t="str">
        <f t="shared" si="9"/>
        <v>Normal</v>
      </c>
    </row>
    <row r="278" spans="1:12" ht="18" customHeight="1" x14ac:dyDescent="0.3">
      <c r="A278" s="1">
        <v>23034</v>
      </c>
      <c r="B278" s="1" t="str">
        <f>VLOOKUP( WeatherData[[#This Row],[Station Number]], 'Station Numbers'!A:B,2,FALSE)</f>
        <v xml:space="preserve">Adelaide Airport </v>
      </c>
      <c r="C278" s="1">
        <v>2020</v>
      </c>
      <c r="D278" s="1">
        <v>10</v>
      </c>
      <c r="E278" s="1">
        <v>3</v>
      </c>
      <c r="F278" s="2">
        <f>DATE(WeatherData[[#This Row],[Year]],WeatherData[[#This Row],[Month]],WeatherData[[#This Row],[Day]])</f>
        <v>44107</v>
      </c>
      <c r="G278" s="2" t="str">
        <f>TEXT(WeatherData[[#This Row],[Date]], "mmmm")</f>
        <v>October</v>
      </c>
      <c r="H278" s="16">
        <v>0</v>
      </c>
      <c r="I278" s="16">
        <v>30.2</v>
      </c>
      <c r="J278" s="16">
        <v>23.4</v>
      </c>
      <c r="K278" s="6">
        <f t="shared" si="8"/>
        <v>6.8000000000000007</v>
      </c>
      <c r="L278" s="4" t="str">
        <f t="shared" si="9"/>
        <v>Normal</v>
      </c>
    </row>
    <row r="279" spans="1:12" ht="18" customHeight="1" x14ac:dyDescent="0.3">
      <c r="A279" s="1">
        <v>23034</v>
      </c>
      <c r="B279" s="1" t="str">
        <f>VLOOKUP( WeatherData[[#This Row],[Station Number]], 'Station Numbers'!A:B,2,FALSE)</f>
        <v xml:space="preserve">Adelaide Airport </v>
      </c>
      <c r="C279" s="1">
        <v>2020</v>
      </c>
      <c r="D279" s="1">
        <v>10</v>
      </c>
      <c r="E279" s="1">
        <v>4</v>
      </c>
      <c r="F279" s="2">
        <f>DATE(WeatherData[[#This Row],[Year]],WeatherData[[#This Row],[Month]],WeatherData[[#This Row],[Day]])</f>
        <v>44108</v>
      </c>
      <c r="G279" s="2" t="str">
        <f>TEXT(WeatherData[[#This Row],[Date]], "mmmm")</f>
        <v>October</v>
      </c>
      <c r="H279" s="16">
        <v>0</v>
      </c>
      <c r="I279" s="16">
        <v>22.8</v>
      </c>
      <c r="J279" s="16">
        <v>16.899999999999999</v>
      </c>
      <c r="K279" s="6">
        <f t="shared" si="8"/>
        <v>5.9000000000000021</v>
      </c>
      <c r="L279" s="4" t="str">
        <f t="shared" si="9"/>
        <v>Normal</v>
      </c>
    </row>
    <row r="280" spans="1:12" ht="18" customHeight="1" x14ac:dyDescent="0.3">
      <c r="A280" s="1">
        <v>23034</v>
      </c>
      <c r="B280" s="1" t="str">
        <f>VLOOKUP( WeatherData[[#This Row],[Station Number]], 'Station Numbers'!A:B,2,FALSE)</f>
        <v xml:space="preserve">Adelaide Airport </v>
      </c>
      <c r="C280" s="1">
        <v>2020</v>
      </c>
      <c r="D280" s="1">
        <v>10</v>
      </c>
      <c r="E280" s="1">
        <v>5</v>
      </c>
      <c r="F280" s="2">
        <f>DATE(WeatherData[[#This Row],[Year]],WeatherData[[#This Row],[Month]],WeatherData[[#This Row],[Day]])</f>
        <v>44109</v>
      </c>
      <c r="G280" s="2" t="str">
        <f>TEXT(WeatherData[[#This Row],[Date]], "mmmm")</f>
        <v>October</v>
      </c>
      <c r="H280" s="16">
        <v>19.2</v>
      </c>
      <c r="I280" s="16">
        <v>17.100000000000001</v>
      </c>
      <c r="J280" s="16">
        <v>8.6999999999999993</v>
      </c>
      <c r="K280" s="6">
        <f t="shared" si="8"/>
        <v>8.4000000000000021</v>
      </c>
      <c r="L280" s="4" t="str">
        <f t="shared" si="9"/>
        <v>Normal</v>
      </c>
    </row>
    <row r="281" spans="1:12" ht="18" customHeight="1" x14ac:dyDescent="0.3">
      <c r="A281" s="1">
        <v>23034</v>
      </c>
      <c r="B281" s="1" t="str">
        <f>VLOOKUP( WeatherData[[#This Row],[Station Number]], 'Station Numbers'!A:B,2,FALSE)</f>
        <v xml:space="preserve">Adelaide Airport </v>
      </c>
      <c r="C281" s="1">
        <v>2020</v>
      </c>
      <c r="D281" s="1">
        <v>10</v>
      </c>
      <c r="E281" s="1">
        <v>6</v>
      </c>
      <c r="F281" s="2">
        <f>DATE(WeatherData[[#This Row],[Year]],WeatherData[[#This Row],[Month]],WeatherData[[#This Row],[Day]])</f>
        <v>44110</v>
      </c>
      <c r="G281" s="2" t="str">
        <f>TEXT(WeatherData[[#This Row],[Date]], "mmmm")</f>
        <v>October</v>
      </c>
      <c r="H281" s="16">
        <v>0</v>
      </c>
      <c r="I281" s="16">
        <v>17</v>
      </c>
      <c r="J281" s="16">
        <v>9.3000000000000007</v>
      </c>
      <c r="K281" s="6">
        <f t="shared" si="8"/>
        <v>7.6999999999999993</v>
      </c>
      <c r="L281" s="4" t="str">
        <f t="shared" si="9"/>
        <v>Normal</v>
      </c>
    </row>
    <row r="282" spans="1:12" ht="18" customHeight="1" x14ac:dyDescent="0.3">
      <c r="A282" s="1">
        <v>23034</v>
      </c>
      <c r="B282" s="1" t="str">
        <f>VLOOKUP( WeatherData[[#This Row],[Station Number]], 'Station Numbers'!A:B,2,FALSE)</f>
        <v xml:space="preserve">Adelaide Airport </v>
      </c>
      <c r="C282" s="1">
        <v>2020</v>
      </c>
      <c r="D282" s="1">
        <v>10</v>
      </c>
      <c r="E282" s="1">
        <v>7</v>
      </c>
      <c r="F282" s="2">
        <f>DATE(WeatherData[[#This Row],[Year]],WeatherData[[#This Row],[Month]],WeatherData[[#This Row],[Day]])</f>
        <v>44111</v>
      </c>
      <c r="G282" s="2" t="str">
        <f>TEXT(WeatherData[[#This Row],[Date]], "mmmm")</f>
        <v>October</v>
      </c>
      <c r="H282" s="16">
        <v>2.8</v>
      </c>
      <c r="I282" s="16">
        <v>13.9</v>
      </c>
      <c r="J282" s="16">
        <v>9.5</v>
      </c>
      <c r="K282" s="6">
        <f t="shared" si="8"/>
        <v>4.4000000000000004</v>
      </c>
      <c r="L282" s="4" t="str">
        <f t="shared" si="9"/>
        <v>Normal</v>
      </c>
    </row>
    <row r="283" spans="1:12" ht="18" customHeight="1" x14ac:dyDescent="0.3">
      <c r="A283" s="1">
        <v>23034</v>
      </c>
      <c r="B283" s="1" t="str">
        <f>VLOOKUP( WeatherData[[#This Row],[Station Number]], 'Station Numbers'!A:B,2,FALSE)</f>
        <v xml:space="preserve">Adelaide Airport </v>
      </c>
      <c r="C283" s="1">
        <v>2020</v>
      </c>
      <c r="D283" s="1">
        <v>10</v>
      </c>
      <c r="E283" s="1">
        <v>8</v>
      </c>
      <c r="F283" s="2">
        <f>DATE(WeatherData[[#This Row],[Year]],WeatherData[[#This Row],[Month]],WeatherData[[#This Row],[Day]])</f>
        <v>44112</v>
      </c>
      <c r="G283" s="2" t="str">
        <f>TEXT(WeatherData[[#This Row],[Date]], "mmmm")</f>
        <v>October</v>
      </c>
      <c r="H283" s="16">
        <v>12.6</v>
      </c>
      <c r="I283" s="16">
        <v>15.7</v>
      </c>
      <c r="J283" s="16">
        <v>9.4</v>
      </c>
      <c r="K283" s="6">
        <f t="shared" si="8"/>
        <v>6.2999999999999989</v>
      </c>
      <c r="L283" s="4" t="str">
        <f t="shared" si="9"/>
        <v>Normal</v>
      </c>
    </row>
    <row r="284" spans="1:12" ht="18" customHeight="1" x14ac:dyDescent="0.3">
      <c r="A284" s="1">
        <v>23034</v>
      </c>
      <c r="B284" s="1" t="str">
        <f>VLOOKUP( WeatherData[[#This Row],[Station Number]], 'Station Numbers'!A:B,2,FALSE)</f>
        <v xml:space="preserve">Adelaide Airport </v>
      </c>
      <c r="C284" s="1">
        <v>2020</v>
      </c>
      <c r="D284" s="1">
        <v>10</v>
      </c>
      <c r="E284" s="1">
        <v>9</v>
      </c>
      <c r="F284" s="2">
        <f>DATE(WeatherData[[#This Row],[Year]],WeatherData[[#This Row],[Month]],WeatherData[[#This Row],[Day]])</f>
        <v>44113</v>
      </c>
      <c r="G284" s="2" t="str">
        <f>TEXT(WeatherData[[#This Row],[Date]], "mmmm")</f>
        <v>October</v>
      </c>
      <c r="H284" s="16">
        <v>0</v>
      </c>
      <c r="I284" s="16">
        <v>19.2</v>
      </c>
      <c r="J284" s="16">
        <v>11.5</v>
      </c>
      <c r="K284" s="6">
        <f t="shared" si="8"/>
        <v>7.6999999999999993</v>
      </c>
      <c r="L284" s="4" t="str">
        <f t="shared" si="9"/>
        <v>Normal</v>
      </c>
    </row>
    <row r="285" spans="1:12" ht="18" customHeight="1" x14ac:dyDescent="0.3">
      <c r="A285" s="1">
        <v>23034</v>
      </c>
      <c r="B285" s="1" t="str">
        <f>VLOOKUP( WeatherData[[#This Row],[Station Number]], 'Station Numbers'!A:B,2,FALSE)</f>
        <v xml:space="preserve">Adelaide Airport </v>
      </c>
      <c r="C285" s="1">
        <v>2020</v>
      </c>
      <c r="D285" s="1">
        <v>10</v>
      </c>
      <c r="E285" s="1">
        <v>10</v>
      </c>
      <c r="F285" s="2">
        <f>DATE(WeatherData[[#This Row],[Year]],WeatherData[[#This Row],[Month]],WeatherData[[#This Row],[Day]])</f>
        <v>44114</v>
      </c>
      <c r="G285" s="2" t="str">
        <f>TEXT(WeatherData[[#This Row],[Date]], "mmmm")</f>
        <v>October</v>
      </c>
      <c r="H285" s="16">
        <v>0</v>
      </c>
      <c r="I285" s="16">
        <v>19.399999999999999</v>
      </c>
      <c r="J285" s="16">
        <v>9.8000000000000007</v>
      </c>
      <c r="K285" s="6">
        <f t="shared" si="8"/>
        <v>9.5999999999999979</v>
      </c>
      <c r="L285" s="4" t="str">
        <f t="shared" si="9"/>
        <v>Normal</v>
      </c>
    </row>
    <row r="286" spans="1:12" ht="18" customHeight="1" x14ac:dyDescent="0.3">
      <c r="A286" s="1">
        <v>23034</v>
      </c>
      <c r="B286" s="1" t="str">
        <f>VLOOKUP( WeatherData[[#This Row],[Station Number]], 'Station Numbers'!A:B,2,FALSE)</f>
        <v xml:space="preserve">Adelaide Airport </v>
      </c>
      <c r="C286" s="1">
        <v>2020</v>
      </c>
      <c r="D286" s="1">
        <v>10</v>
      </c>
      <c r="E286" s="1">
        <v>11</v>
      </c>
      <c r="F286" s="2">
        <f>DATE(WeatherData[[#This Row],[Year]],WeatherData[[#This Row],[Month]],WeatherData[[#This Row],[Day]])</f>
        <v>44115</v>
      </c>
      <c r="G286" s="2" t="str">
        <f>TEXT(WeatherData[[#This Row],[Date]], "mmmm")</f>
        <v>October</v>
      </c>
      <c r="H286" s="16">
        <v>0</v>
      </c>
      <c r="I286" s="16">
        <v>21.4</v>
      </c>
      <c r="J286" s="16">
        <v>7.2</v>
      </c>
      <c r="K286" s="6">
        <f t="shared" si="8"/>
        <v>14.2</v>
      </c>
      <c r="L286" s="4" t="str">
        <f t="shared" si="9"/>
        <v>Normal</v>
      </c>
    </row>
    <row r="287" spans="1:12" ht="18" customHeight="1" x14ac:dyDescent="0.3">
      <c r="A287" s="1">
        <v>23034</v>
      </c>
      <c r="B287" s="1" t="str">
        <f>VLOOKUP( WeatherData[[#This Row],[Station Number]], 'Station Numbers'!A:B,2,FALSE)</f>
        <v xml:space="preserve">Adelaide Airport </v>
      </c>
      <c r="C287" s="1">
        <v>2020</v>
      </c>
      <c r="D287" s="1">
        <v>10</v>
      </c>
      <c r="E287" s="1">
        <v>12</v>
      </c>
      <c r="F287" s="2">
        <f>DATE(WeatherData[[#This Row],[Year]],WeatherData[[#This Row],[Month]],WeatherData[[#This Row],[Day]])</f>
        <v>44116</v>
      </c>
      <c r="G287" s="2" t="str">
        <f>TEXT(WeatherData[[#This Row],[Date]], "mmmm")</f>
        <v>October</v>
      </c>
      <c r="H287" s="16">
        <v>0</v>
      </c>
      <c r="I287" s="16">
        <v>28.5</v>
      </c>
      <c r="J287" s="16">
        <v>13.6</v>
      </c>
      <c r="K287" s="6">
        <f t="shared" si="8"/>
        <v>14.9</v>
      </c>
      <c r="L287" s="4" t="str">
        <f t="shared" si="9"/>
        <v>Normal</v>
      </c>
    </row>
    <row r="288" spans="1:12" ht="18" customHeight="1" x14ac:dyDescent="0.3">
      <c r="A288" s="1">
        <v>23034</v>
      </c>
      <c r="B288" s="1" t="str">
        <f>VLOOKUP( WeatherData[[#This Row],[Station Number]], 'Station Numbers'!A:B,2,FALSE)</f>
        <v xml:space="preserve">Adelaide Airport </v>
      </c>
      <c r="C288" s="1">
        <v>2020</v>
      </c>
      <c r="D288" s="1">
        <v>10</v>
      </c>
      <c r="E288" s="1">
        <v>13</v>
      </c>
      <c r="F288" s="2">
        <f>DATE(WeatherData[[#This Row],[Year]],WeatherData[[#This Row],[Month]],WeatherData[[#This Row],[Day]])</f>
        <v>44117</v>
      </c>
      <c r="G288" s="2" t="str">
        <f>TEXT(WeatherData[[#This Row],[Date]], "mmmm")</f>
        <v>October</v>
      </c>
      <c r="H288" s="16">
        <v>0</v>
      </c>
      <c r="I288" s="16">
        <v>22.1</v>
      </c>
      <c r="J288" s="16">
        <v>12.5</v>
      </c>
      <c r="K288" s="6">
        <f t="shared" si="8"/>
        <v>9.6000000000000014</v>
      </c>
      <c r="L288" s="4" t="str">
        <f t="shared" si="9"/>
        <v>Normal</v>
      </c>
    </row>
    <row r="289" spans="1:12" ht="18" customHeight="1" x14ac:dyDescent="0.3">
      <c r="A289" s="1">
        <v>23034</v>
      </c>
      <c r="B289" s="1" t="str">
        <f>VLOOKUP( WeatherData[[#This Row],[Station Number]], 'Station Numbers'!A:B,2,FALSE)</f>
        <v xml:space="preserve">Adelaide Airport </v>
      </c>
      <c r="C289" s="1">
        <v>2020</v>
      </c>
      <c r="D289" s="1">
        <v>10</v>
      </c>
      <c r="E289" s="1">
        <v>14</v>
      </c>
      <c r="F289" s="2">
        <f>DATE(WeatherData[[#This Row],[Year]],WeatherData[[#This Row],[Month]],WeatherData[[#This Row],[Day]])</f>
        <v>44118</v>
      </c>
      <c r="G289" s="2" t="str">
        <f>TEXT(WeatherData[[#This Row],[Date]], "mmmm")</f>
        <v>October</v>
      </c>
      <c r="H289" s="16">
        <v>0</v>
      </c>
      <c r="I289" s="16">
        <v>32.200000000000003</v>
      </c>
      <c r="J289" s="16">
        <v>13.1</v>
      </c>
      <c r="K289" s="6">
        <f t="shared" si="8"/>
        <v>19.100000000000001</v>
      </c>
      <c r="L289" s="4" t="str">
        <f t="shared" si="9"/>
        <v>Normal</v>
      </c>
    </row>
    <row r="290" spans="1:12" ht="18" customHeight="1" x14ac:dyDescent="0.3">
      <c r="A290" s="1">
        <v>23034</v>
      </c>
      <c r="B290" s="1" t="str">
        <f>VLOOKUP( WeatherData[[#This Row],[Station Number]], 'Station Numbers'!A:B,2,FALSE)</f>
        <v xml:space="preserve">Adelaide Airport </v>
      </c>
      <c r="C290" s="1">
        <v>2020</v>
      </c>
      <c r="D290" s="1">
        <v>10</v>
      </c>
      <c r="E290" s="1">
        <v>15</v>
      </c>
      <c r="F290" s="2">
        <f>DATE(WeatherData[[#This Row],[Year]],WeatherData[[#This Row],[Month]],WeatherData[[#This Row],[Day]])</f>
        <v>44119</v>
      </c>
      <c r="G290" s="2" t="str">
        <f>TEXT(WeatherData[[#This Row],[Date]], "mmmm")</f>
        <v>October</v>
      </c>
      <c r="H290" s="16">
        <v>0</v>
      </c>
      <c r="I290" s="16">
        <v>27.2</v>
      </c>
      <c r="J290" s="16">
        <v>19.3</v>
      </c>
      <c r="K290" s="6">
        <f t="shared" si="8"/>
        <v>7.8999999999999986</v>
      </c>
      <c r="L290" s="4" t="str">
        <f t="shared" si="9"/>
        <v>Normal</v>
      </c>
    </row>
    <row r="291" spans="1:12" ht="18" customHeight="1" x14ac:dyDescent="0.3">
      <c r="A291" s="1">
        <v>23034</v>
      </c>
      <c r="B291" s="1" t="str">
        <f>VLOOKUP( WeatherData[[#This Row],[Station Number]], 'Station Numbers'!A:B,2,FALSE)</f>
        <v xml:space="preserve">Adelaide Airport </v>
      </c>
      <c r="C291" s="1">
        <v>2020</v>
      </c>
      <c r="D291" s="1">
        <v>10</v>
      </c>
      <c r="E291" s="1">
        <v>16</v>
      </c>
      <c r="F291" s="2">
        <f>DATE(WeatherData[[#This Row],[Year]],WeatherData[[#This Row],[Month]],WeatherData[[#This Row],[Day]])</f>
        <v>44120</v>
      </c>
      <c r="G291" s="2" t="str">
        <f>TEXT(WeatherData[[#This Row],[Date]], "mmmm")</f>
        <v>October</v>
      </c>
      <c r="H291" s="16">
        <v>0.4</v>
      </c>
      <c r="I291" s="16">
        <v>20.399999999999999</v>
      </c>
      <c r="J291" s="16">
        <v>14.6</v>
      </c>
      <c r="K291" s="6">
        <f t="shared" si="8"/>
        <v>5.7999999999999989</v>
      </c>
      <c r="L291" s="4" t="str">
        <f t="shared" si="9"/>
        <v>Normal</v>
      </c>
    </row>
    <row r="292" spans="1:12" ht="18" customHeight="1" x14ac:dyDescent="0.3">
      <c r="A292" s="1">
        <v>23034</v>
      </c>
      <c r="B292" s="1" t="str">
        <f>VLOOKUP( WeatherData[[#This Row],[Station Number]], 'Station Numbers'!A:B,2,FALSE)</f>
        <v xml:space="preserve">Adelaide Airport </v>
      </c>
      <c r="C292" s="1">
        <v>2020</v>
      </c>
      <c r="D292" s="1">
        <v>10</v>
      </c>
      <c r="E292" s="1">
        <v>17</v>
      </c>
      <c r="F292" s="2">
        <f>DATE(WeatherData[[#This Row],[Year]],WeatherData[[#This Row],[Month]],WeatherData[[#This Row],[Day]])</f>
        <v>44121</v>
      </c>
      <c r="G292" s="2" t="str">
        <f>TEXT(WeatherData[[#This Row],[Date]], "mmmm")</f>
        <v>October</v>
      </c>
      <c r="H292" s="16">
        <v>1.6</v>
      </c>
      <c r="I292" s="16">
        <v>18.2</v>
      </c>
      <c r="J292" s="16">
        <v>12.5</v>
      </c>
      <c r="K292" s="6">
        <f t="shared" si="8"/>
        <v>5.6999999999999993</v>
      </c>
      <c r="L292" s="4" t="str">
        <f t="shared" si="9"/>
        <v>Normal</v>
      </c>
    </row>
    <row r="293" spans="1:12" ht="18" customHeight="1" x14ac:dyDescent="0.3">
      <c r="A293" s="1">
        <v>23034</v>
      </c>
      <c r="B293" s="1" t="str">
        <f>VLOOKUP( WeatherData[[#This Row],[Station Number]], 'Station Numbers'!A:B,2,FALSE)</f>
        <v xml:space="preserve">Adelaide Airport </v>
      </c>
      <c r="C293" s="1">
        <v>2020</v>
      </c>
      <c r="D293" s="1">
        <v>10</v>
      </c>
      <c r="E293" s="1">
        <v>18</v>
      </c>
      <c r="F293" s="2">
        <f>DATE(WeatherData[[#This Row],[Year]],WeatherData[[#This Row],[Month]],WeatherData[[#This Row],[Day]])</f>
        <v>44122</v>
      </c>
      <c r="G293" s="2" t="str">
        <f>TEXT(WeatherData[[#This Row],[Date]], "mmmm")</f>
        <v>October</v>
      </c>
      <c r="H293" s="16">
        <v>0</v>
      </c>
      <c r="I293" s="16">
        <v>16.8</v>
      </c>
      <c r="J293" s="16">
        <v>11.8</v>
      </c>
      <c r="K293" s="6">
        <f t="shared" si="8"/>
        <v>5</v>
      </c>
      <c r="L293" s="4" t="str">
        <f t="shared" si="9"/>
        <v>Normal</v>
      </c>
    </row>
    <row r="294" spans="1:12" ht="18" customHeight="1" x14ac:dyDescent="0.3">
      <c r="A294" s="1">
        <v>23034</v>
      </c>
      <c r="B294" s="1" t="str">
        <f>VLOOKUP( WeatherData[[#This Row],[Station Number]], 'Station Numbers'!A:B,2,FALSE)</f>
        <v xml:space="preserve">Adelaide Airport </v>
      </c>
      <c r="C294" s="1">
        <v>2020</v>
      </c>
      <c r="D294" s="1">
        <v>10</v>
      </c>
      <c r="E294" s="1">
        <v>19</v>
      </c>
      <c r="F294" s="2">
        <f>DATE(WeatherData[[#This Row],[Year]],WeatherData[[#This Row],[Month]],WeatherData[[#This Row],[Day]])</f>
        <v>44123</v>
      </c>
      <c r="G294" s="2" t="str">
        <f>TEXT(WeatherData[[#This Row],[Date]], "mmmm")</f>
        <v>October</v>
      </c>
      <c r="H294" s="16">
        <v>0</v>
      </c>
      <c r="I294" s="16">
        <v>18.600000000000001</v>
      </c>
      <c r="J294" s="16">
        <v>6.6</v>
      </c>
      <c r="K294" s="6">
        <f t="shared" si="8"/>
        <v>12.000000000000002</v>
      </c>
      <c r="L294" s="4" t="str">
        <f t="shared" si="9"/>
        <v>Normal</v>
      </c>
    </row>
    <row r="295" spans="1:12" ht="18" customHeight="1" x14ac:dyDescent="0.3">
      <c r="A295" s="1">
        <v>23034</v>
      </c>
      <c r="B295" s="1" t="str">
        <f>VLOOKUP( WeatherData[[#This Row],[Station Number]], 'Station Numbers'!A:B,2,FALSE)</f>
        <v xml:space="preserve">Adelaide Airport </v>
      </c>
      <c r="C295" s="1">
        <v>2020</v>
      </c>
      <c r="D295" s="1">
        <v>10</v>
      </c>
      <c r="E295" s="1">
        <v>20</v>
      </c>
      <c r="F295" s="2">
        <f>DATE(WeatherData[[#This Row],[Year]],WeatherData[[#This Row],[Month]],WeatherData[[#This Row],[Day]])</f>
        <v>44124</v>
      </c>
      <c r="G295" s="2" t="str">
        <f>TEXT(WeatherData[[#This Row],[Date]], "mmmm")</f>
        <v>October</v>
      </c>
      <c r="H295" s="16">
        <v>0</v>
      </c>
      <c r="I295" s="16">
        <v>21.7</v>
      </c>
      <c r="J295" s="16">
        <v>7.6</v>
      </c>
      <c r="K295" s="6">
        <f t="shared" si="8"/>
        <v>14.1</v>
      </c>
      <c r="L295" s="4" t="str">
        <f t="shared" si="9"/>
        <v>Normal</v>
      </c>
    </row>
    <row r="296" spans="1:12" ht="18" customHeight="1" x14ac:dyDescent="0.3">
      <c r="A296" s="1">
        <v>23034</v>
      </c>
      <c r="B296" s="1" t="str">
        <f>VLOOKUP( WeatherData[[#This Row],[Station Number]], 'Station Numbers'!A:B,2,FALSE)</f>
        <v xml:space="preserve">Adelaide Airport </v>
      </c>
      <c r="C296" s="1">
        <v>2020</v>
      </c>
      <c r="D296" s="1">
        <v>10</v>
      </c>
      <c r="E296" s="1">
        <v>21</v>
      </c>
      <c r="F296" s="2">
        <f>DATE(WeatherData[[#This Row],[Year]],WeatherData[[#This Row],[Month]],WeatherData[[#This Row],[Day]])</f>
        <v>44125</v>
      </c>
      <c r="G296" s="2" t="str">
        <f>TEXT(WeatherData[[#This Row],[Date]], "mmmm")</f>
        <v>October</v>
      </c>
      <c r="H296" s="16">
        <v>0</v>
      </c>
      <c r="I296" s="16">
        <v>22.8</v>
      </c>
      <c r="J296" s="16">
        <v>10.5</v>
      </c>
      <c r="K296" s="6">
        <f t="shared" si="8"/>
        <v>12.3</v>
      </c>
      <c r="L296" s="4" t="str">
        <f t="shared" si="9"/>
        <v>Normal</v>
      </c>
    </row>
    <row r="297" spans="1:12" ht="18" customHeight="1" x14ac:dyDescent="0.3">
      <c r="A297" s="1">
        <v>23034</v>
      </c>
      <c r="B297" s="1" t="str">
        <f>VLOOKUP( WeatherData[[#This Row],[Station Number]], 'Station Numbers'!A:B,2,FALSE)</f>
        <v xml:space="preserve">Adelaide Airport </v>
      </c>
      <c r="C297" s="1">
        <v>2020</v>
      </c>
      <c r="D297" s="1">
        <v>10</v>
      </c>
      <c r="E297" s="1">
        <v>22</v>
      </c>
      <c r="F297" s="2">
        <f>DATE(WeatherData[[#This Row],[Year]],WeatherData[[#This Row],[Month]],WeatherData[[#This Row],[Day]])</f>
        <v>44126</v>
      </c>
      <c r="G297" s="2" t="str">
        <f>TEXT(WeatherData[[#This Row],[Date]], "mmmm")</f>
        <v>October</v>
      </c>
      <c r="H297" s="16">
        <v>0</v>
      </c>
      <c r="I297" s="16">
        <v>26.3</v>
      </c>
      <c r="J297" s="16">
        <v>12.8</v>
      </c>
      <c r="K297" s="6">
        <f t="shared" si="8"/>
        <v>13.5</v>
      </c>
      <c r="L297" s="4" t="str">
        <f t="shared" si="9"/>
        <v>Normal</v>
      </c>
    </row>
    <row r="298" spans="1:12" ht="18" customHeight="1" x14ac:dyDescent="0.3">
      <c r="A298" s="1">
        <v>23034</v>
      </c>
      <c r="B298" s="1" t="str">
        <f>VLOOKUP( WeatherData[[#This Row],[Station Number]], 'Station Numbers'!A:B,2,FALSE)</f>
        <v xml:space="preserve">Adelaide Airport </v>
      </c>
      <c r="C298" s="1">
        <v>2020</v>
      </c>
      <c r="D298" s="1">
        <v>10</v>
      </c>
      <c r="E298" s="1">
        <v>23</v>
      </c>
      <c r="F298" s="2">
        <f>DATE(WeatherData[[#This Row],[Year]],WeatherData[[#This Row],[Month]],WeatherData[[#This Row],[Day]])</f>
        <v>44127</v>
      </c>
      <c r="G298" s="2" t="str">
        <f>TEXT(WeatherData[[#This Row],[Date]], "mmmm")</f>
        <v>October</v>
      </c>
      <c r="H298" s="16">
        <v>2</v>
      </c>
      <c r="I298" s="16">
        <v>22.3</v>
      </c>
      <c r="J298" s="16">
        <v>17</v>
      </c>
      <c r="K298" s="6">
        <f t="shared" si="8"/>
        <v>5.3000000000000007</v>
      </c>
      <c r="L298" s="4" t="str">
        <f t="shared" si="9"/>
        <v>Normal</v>
      </c>
    </row>
    <row r="299" spans="1:12" ht="18" customHeight="1" x14ac:dyDescent="0.3">
      <c r="A299" s="1">
        <v>23034</v>
      </c>
      <c r="B299" s="1" t="str">
        <f>VLOOKUP( WeatherData[[#This Row],[Station Number]], 'Station Numbers'!A:B,2,FALSE)</f>
        <v xml:space="preserve">Adelaide Airport </v>
      </c>
      <c r="C299" s="1">
        <v>2020</v>
      </c>
      <c r="D299" s="1">
        <v>10</v>
      </c>
      <c r="E299" s="1">
        <v>24</v>
      </c>
      <c r="F299" s="2">
        <f>DATE(WeatherData[[#This Row],[Year]],WeatherData[[#This Row],[Month]],WeatherData[[#This Row],[Day]])</f>
        <v>44128</v>
      </c>
      <c r="G299" s="2" t="str">
        <f>TEXT(WeatherData[[#This Row],[Date]], "mmmm")</f>
        <v>October</v>
      </c>
      <c r="H299" s="16">
        <v>0</v>
      </c>
      <c r="I299" s="16">
        <v>18.3</v>
      </c>
      <c r="J299" s="16">
        <v>12.4</v>
      </c>
      <c r="K299" s="6">
        <f t="shared" si="8"/>
        <v>5.9</v>
      </c>
      <c r="L299" s="4" t="str">
        <f t="shared" si="9"/>
        <v>Normal</v>
      </c>
    </row>
    <row r="300" spans="1:12" ht="18" customHeight="1" x14ac:dyDescent="0.3">
      <c r="A300" s="1">
        <v>23034</v>
      </c>
      <c r="B300" s="1" t="str">
        <f>VLOOKUP( WeatherData[[#This Row],[Station Number]], 'Station Numbers'!A:B,2,FALSE)</f>
        <v xml:space="preserve">Adelaide Airport </v>
      </c>
      <c r="C300" s="1">
        <v>2020</v>
      </c>
      <c r="D300" s="1">
        <v>10</v>
      </c>
      <c r="E300" s="1">
        <v>25</v>
      </c>
      <c r="F300" s="2">
        <f>DATE(WeatherData[[#This Row],[Year]],WeatherData[[#This Row],[Month]],WeatherData[[#This Row],[Day]])</f>
        <v>44129</v>
      </c>
      <c r="G300" s="2" t="str">
        <f>TEXT(WeatherData[[#This Row],[Date]], "mmmm")</f>
        <v>October</v>
      </c>
      <c r="H300" s="16">
        <v>0</v>
      </c>
      <c r="I300" s="16">
        <v>16.899999999999999</v>
      </c>
      <c r="J300" s="16">
        <v>8.9</v>
      </c>
      <c r="K300" s="6">
        <f t="shared" si="8"/>
        <v>7.9999999999999982</v>
      </c>
      <c r="L300" s="4" t="str">
        <f t="shared" si="9"/>
        <v>Normal</v>
      </c>
    </row>
    <row r="301" spans="1:12" ht="18" customHeight="1" x14ac:dyDescent="0.3">
      <c r="A301" s="1">
        <v>23034</v>
      </c>
      <c r="B301" s="1" t="str">
        <f>VLOOKUP( WeatherData[[#This Row],[Station Number]], 'Station Numbers'!A:B,2,FALSE)</f>
        <v xml:space="preserve">Adelaide Airport </v>
      </c>
      <c r="C301" s="1">
        <v>2020</v>
      </c>
      <c r="D301" s="1">
        <v>10</v>
      </c>
      <c r="E301" s="1">
        <v>26</v>
      </c>
      <c r="F301" s="2">
        <f>DATE(WeatherData[[#This Row],[Year]],WeatherData[[#This Row],[Month]],WeatherData[[#This Row],[Day]])</f>
        <v>44130</v>
      </c>
      <c r="G301" s="2" t="str">
        <f>TEXT(WeatherData[[#This Row],[Date]], "mmmm")</f>
        <v>October</v>
      </c>
      <c r="H301" s="16">
        <v>0</v>
      </c>
      <c r="I301" s="16">
        <v>19.100000000000001</v>
      </c>
      <c r="J301" s="16">
        <v>8.3000000000000007</v>
      </c>
      <c r="K301" s="6">
        <f t="shared" si="8"/>
        <v>10.8</v>
      </c>
      <c r="L301" s="4" t="str">
        <f t="shared" si="9"/>
        <v>Normal</v>
      </c>
    </row>
    <row r="302" spans="1:12" ht="18" customHeight="1" x14ac:dyDescent="0.3">
      <c r="A302" s="1">
        <v>23034</v>
      </c>
      <c r="B302" s="1" t="str">
        <f>VLOOKUP( WeatherData[[#This Row],[Station Number]], 'Station Numbers'!A:B,2,FALSE)</f>
        <v xml:space="preserve">Adelaide Airport </v>
      </c>
      <c r="C302" s="1">
        <v>2020</v>
      </c>
      <c r="D302" s="1">
        <v>10</v>
      </c>
      <c r="E302" s="1">
        <v>27</v>
      </c>
      <c r="F302" s="2">
        <f>DATE(WeatherData[[#This Row],[Year]],WeatherData[[#This Row],[Month]],WeatherData[[#This Row],[Day]])</f>
        <v>44131</v>
      </c>
      <c r="G302" s="2" t="str">
        <f>TEXT(WeatherData[[#This Row],[Date]], "mmmm")</f>
        <v>October</v>
      </c>
      <c r="H302" s="16">
        <v>1</v>
      </c>
      <c r="I302" s="16">
        <v>19.5</v>
      </c>
      <c r="J302" s="16">
        <v>11.9</v>
      </c>
      <c r="K302" s="6">
        <f t="shared" si="8"/>
        <v>7.6</v>
      </c>
      <c r="L302" s="4" t="str">
        <f t="shared" si="9"/>
        <v>Normal</v>
      </c>
    </row>
    <row r="303" spans="1:12" ht="18" customHeight="1" x14ac:dyDescent="0.3">
      <c r="A303" s="1">
        <v>23034</v>
      </c>
      <c r="B303" s="1" t="str">
        <f>VLOOKUP( WeatherData[[#This Row],[Station Number]], 'Station Numbers'!A:B,2,FALSE)</f>
        <v xml:space="preserve">Adelaide Airport </v>
      </c>
      <c r="C303" s="1">
        <v>2020</v>
      </c>
      <c r="D303" s="1">
        <v>10</v>
      </c>
      <c r="E303" s="1">
        <v>28</v>
      </c>
      <c r="F303" s="2">
        <f>DATE(WeatherData[[#This Row],[Year]],WeatherData[[#This Row],[Month]],WeatherData[[#This Row],[Day]])</f>
        <v>44132</v>
      </c>
      <c r="G303" s="2" t="str">
        <f>TEXT(WeatherData[[#This Row],[Date]], "mmmm")</f>
        <v>October</v>
      </c>
      <c r="H303" s="16">
        <v>0.2</v>
      </c>
      <c r="I303" s="16">
        <v>21.4</v>
      </c>
      <c r="J303" s="16">
        <v>7.9</v>
      </c>
      <c r="K303" s="6">
        <f t="shared" si="8"/>
        <v>13.499999999999998</v>
      </c>
      <c r="L303" s="4" t="str">
        <f t="shared" si="9"/>
        <v>Normal</v>
      </c>
    </row>
    <row r="304" spans="1:12" ht="18" customHeight="1" x14ac:dyDescent="0.3">
      <c r="A304" s="1">
        <v>23034</v>
      </c>
      <c r="B304" s="1" t="str">
        <f>VLOOKUP( WeatherData[[#This Row],[Station Number]], 'Station Numbers'!A:B,2,FALSE)</f>
        <v xml:space="preserve">Adelaide Airport </v>
      </c>
      <c r="C304" s="1">
        <v>2020</v>
      </c>
      <c r="D304" s="1">
        <v>10</v>
      </c>
      <c r="E304" s="1">
        <v>29</v>
      </c>
      <c r="F304" s="2">
        <f>DATE(WeatherData[[#This Row],[Year]],WeatherData[[#This Row],[Month]],WeatherData[[#This Row],[Day]])</f>
        <v>44133</v>
      </c>
      <c r="G304" s="2" t="str">
        <f>TEXT(WeatherData[[#This Row],[Date]], "mmmm")</f>
        <v>October</v>
      </c>
      <c r="H304" s="16">
        <v>0</v>
      </c>
      <c r="I304" s="16">
        <v>21.7</v>
      </c>
      <c r="J304" s="16">
        <v>13</v>
      </c>
      <c r="K304" s="6">
        <f t="shared" si="8"/>
        <v>8.6999999999999993</v>
      </c>
      <c r="L304" s="4" t="str">
        <f t="shared" si="9"/>
        <v>Normal</v>
      </c>
    </row>
    <row r="305" spans="1:12" ht="18" customHeight="1" x14ac:dyDescent="0.3">
      <c r="A305" s="1">
        <v>23034</v>
      </c>
      <c r="B305" s="1" t="str">
        <f>VLOOKUP( WeatherData[[#This Row],[Station Number]], 'Station Numbers'!A:B,2,FALSE)</f>
        <v xml:space="preserve">Adelaide Airport </v>
      </c>
      <c r="C305" s="1">
        <v>2020</v>
      </c>
      <c r="D305" s="1">
        <v>10</v>
      </c>
      <c r="E305" s="1">
        <v>30</v>
      </c>
      <c r="F305" s="2">
        <f>DATE(WeatherData[[#This Row],[Year]],WeatherData[[#This Row],[Month]],WeatherData[[#This Row],[Day]])</f>
        <v>44134</v>
      </c>
      <c r="G305" s="2" t="str">
        <f>TEXT(WeatherData[[#This Row],[Date]], "mmmm")</f>
        <v>October</v>
      </c>
      <c r="H305" s="16">
        <v>0.6</v>
      </c>
      <c r="I305" s="16">
        <v>18</v>
      </c>
      <c r="J305" s="16">
        <v>12.9</v>
      </c>
      <c r="K305" s="6">
        <f t="shared" si="8"/>
        <v>5.0999999999999996</v>
      </c>
      <c r="L305" s="4" t="str">
        <f t="shared" si="9"/>
        <v>Normal</v>
      </c>
    </row>
    <row r="306" spans="1:12" ht="18" customHeight="1" x14ac:dyDescent="0.3">
      <c r="A306" s="1">
        <v>23034</v>
      </c>
      <c r="B306" s="1" t="str">
        <f>VLOOKUP( WeatherData[[#This Row],[Station Number]], 'Station Numbers'!A:B,2,FALSE)</f>
        <v xml:space="preserve">Adelaide Airport </v>
      </c>
      <c r="C306" s="1">
        <v>2020</v>
      </c>
      <c r="D306" s="1">
        <v>10</v>
      </c>
      <c r="E306" s="1">
        <v>31</v>
      </c>
      <c r="F306" s="2">
        <f>DATE(WeatherData[[#This Row],[Year]],WeatherData[[#This Row],[Month]],WeatherData[[#This Row],[Day]])</f>
        <v>44135</v>
      </c>
      <c r="G306" s="2" t="str">
        <f>TEXT(WeatherData[[#This Row],[Date]], "mmmm")</f>
        <v>October</v>
      </c>
      <c r="H306" s="16">
        <v>0</v>
      </c>
      <c r="I306" s="16">
        <v>18.399999999999999</v>
      </c>
      <c r="J306" s="16">
        <v>13.1</v>
      </c>
      <c r="K306" s="6">
        <f t="shared" si="8"/>
        <v>5.2999999999999989</v>
      </c>
      <c r="L306" s="4" t="str">
        <f t="shared" si="9"/>
        <v>Normal</v>
      </c>
    </row>
    <row r="307" spans="1:12" ht="18" customHeight="1" x14ac:dyDescent="0.3">
      <c r="A307" s="1">
        <v>23034</v>
      </c>
      <c r="B307" s="1" t="str">
        <f>VLOOKUP( WeatherData[[#This Row],[Station Number]], 'Station Numbers'!A:B,2,FALSE)</f>
        <v xml:space="preserve">Adelaide Airport </v>
      </c>
      <c r="C307" s="1">
        <v>2020</v>
      </c>
      <c r="D307" s="1">
        <v>11</v>
      </c>
      <c r="E307" s="1">
        <v>1</v>
      </c>
      <c r="F307" s="2">
        <f>DATE(WeatherData[[#This Row],[Year]],WeatherData[[#This Row],[Month]],WeatherData[[#This Row],[Day]])</f>
        <v>44136</v>
      </c>
      <c r="G307" s="2" t="str">
        <f>TEXT(WeatherData[[#This Row],[Date]], "mmmm")</f>
        <v>November</v>
      </c>
      <c r="H307" s="16">
        <v>0</v>
      </c>
      <c r="I307" s="16">
        <v>25.4</v>
      </c>
      <c r="J307" s="16">
        <v>6.5</v>
      </c>
      <c r="K307" s="6">
        <f t="shared" si="8"/>
        <v>18.899999999999999</v>
      </c>
      <c r="L307" s="4" t="str">
        <f t="shared" si="9"/>
        <v>Normal</v>
      </c>
    </row>
    <row r="308" spans="1:12" ht="18" customHeight="1" x14ac:dyDescent="0.3">
      <c r="A308" s="1">
        <v>23034</v>
      </c>
      <c r="B308" s="1" t="str">
        <f>VLOOKUP( WeatherData[[#This Row],[Station Number]], 'Station Numbers'!A:B,2,FALSE)</f>
        <v xml:space="preserve">Adelaide Airport </v>
      </c>
      <c r="C308" s="1">
        <v>2020</v>
      </c>
      <c r="D308" s="1">
        <v>11</v>
      </c>
      <c r="E308" s="1">
        <v>2</v>
      </c>
      <c r="F308" s="2">
        <f>DATE(WeatherData[[#This Row],[Year]],WeatherData[[#This Row],[Month]],WeatherData[[#This Row],[Day]])</f>
        <v>44137</v>
      </c>
      <c r="G308" s="2" t="str">
        <f>TEXT(WeatherData[[#This Row],[Date]], "mmmm")</f>
        <v>November</v>
      </c>
      <c r="H308" s="16">
        <v>0</v>
      </c>
      <c r="I308" s="16">
        <v>30.6</v>
      </c>
      <c r="J308" s="16">
        <v>15.3</v>
      </c>
      <c r="K308" s="6">
        <f t="shared" si="8"/>
        <v>15.3</v>
      </c>
      <c r="L308" s="4" t="str">
        <f t="shared" si="9"/>
        <v>Normal</v>
      </c>
    </row>
    <row r="309" spans="1:12" ht="18" customHeight="1" x14ac:dyDescent="0.3">
      <c r="A309" s="1">
        <v>23034</v>
      </c>
      <c r="B309" s="1" t="str">
        <f>VLOOKUP( WeatherData[[#This Row],[Station Number]], 'Station Numbers'!A:B,2,FALSE)</f>
        <v xml:space="preserve">Adelaide Airport </v>
      </c>
      <c r="C309" s="1">
        <v>2020</v>
      </c>
      <c r="D309" s="1">
        <v>11</v>
      </c>
      <c r="E309" s="1">
        <v>3</v>
      </c>
      <c r="F309" s="2">
        <f>DATE(WeatherData[[#This Row],[Year]],WeatherData[[#This Row],[Month]],WeatherData[[#This Row],[Day]])</f>
        <v>44138</v>
      </c>
      <c r="G309" s="2" t="str">
        <f>TEXT(WeatherData[[#This Row],[Date]], "mmmm")</f>
        <v>November</v>
      </c>
      <c r="H309" s="16">
        <v>0</v>
      </c>
      <c r="I309" s="16">
        <v>35.5</v>
      </c>
      <c r="J309" s="16">
        <v>18.899999999999999</v>
      </c>
      <c r="K309" s="6">
        <f t="shared" si="8"/>
        <v>16.600000000000001</v>
      </c>
      <c r="L309" s="4" t="str">
        <f t="shared" si="9"/>
        <v>Heatwave</v>
      </c>
    </row>
    <row r="310" spans="1:12" ht="18" customHeight="1" x14ac:dyDescent="0.3">
      <c r="A310" s="1">
        <v>23034</v>
      </c>
      <c r="B310" s="1" t="str">
        <f>VLOOKUP( WeatherData[[#This Row],[Station Number]], 'Station Numbers'!A:B,2,FALSE)</f>
        <v xml:space="preserve">Adelaide Airport </v>
      </c>
      <c r="C310" s="1">
        <v>2020</v>
      </c>
      <c r="D310" s="1">
        <v>11</v>
      </c>
      <c r="E310" s="1">
        <v>4</v>
      </c>
      <c r="F310" s="2">
        <f>DATE(WeatherData[[#This Row],[Year]],WeatherData[[#This Row],[Month]],WeatherData[[#This Row],[Day]])</f>
        <v>44139</v>
      </c>
      <c r="G310" s="2" t="str">
        <f>TEXT(WeatherData[[#This Row],[Date]], "mmmm")</f>
        <v>November</v>
      </c>
      <c r="H310" s="16">
        <v>2</v>
      </c>
      <c r="I310" s="16">
        <v>18.5</v>
      </c>
      <c r="J310" s="16">
        <v>13.9</v>
      </c>
      <c r="K310" s="6">
        <f t="shared" si="8"/>
        <v>4.5999999999999996</v>
      </c>
      <c r="L310" s="4" t="str">
        <f t="shared" si="9"/>
        <v>Normal</v>
      </c>
    </row>
    <row r="311" spans="1:12" ht="18" customHeight="1" x14ac:dyDescent="0.3">
      <c r="A311" s="1">
        <v>23034</v>
      </c>
      <c r="B311" s="1" t="str">
        <f>VLOOKUP( WeatherData[[#This Row],[Station Number]], 'Station Numbers'!A:B,2,FALSE)</f>
        <v xml:space="preserve">Adelaide Airport </v>
      </c>
      <c r="C311" s="1">
        <v>2020</v>
      </c>
      <c r="D311" s="1">
        <v>11</v>
      </c>
      <c r="E311" s="1">
        <v>5</v>
      </c>
      <c r="F311" s="2">
        <f>DATE(WeatherData[[#This Row],[Year]],WeatherData[[#This Row],[Month]],WeatherData[[#This Row],[Day]])</f>
        <v>44140</v>
      </c>
      <c r="G311" s="2" t="str">
        <f>TEXT(WeatherData[[#This Row],[Date]], "mmmm")</f>
        <v>November</v>
      </c>
      <c r="H311" s="16">
        <v>0.2</v>
      </c>
      <c r="I311" s="16">
        <v>18.600000000000001</v>
      </c>
      <c r="J311" s="16">
        <v>8.3000000000000007</v>
      </c>
      <c r="K311" s="6">
        <f t="shared" si="8"/>
        <v>10.3</v>
      </c>
      <c r="L311" s="4" t="str">
        <f t="shared" si="9"/>
        <v>Normal</v>
      </c>
    </row>
    <row r="312" spans="1:12" ht="18" customHeight="1" x14ac:dyDescent="0.3">
      <c r="A312" s="1">
        <v>23034</v>
      </c>
      <c r="B312" s="1" t="str">
        <f>VLOOKUP( WeatherData[[#This Row],[Station Number]], 'Station Numbers'!A:B,2,FALSE)</f>
        <v xml:space="preserve">Adelaide Airport </v>
      </c>
      <c r="C312" s="1">
        <v>2020</v>
      </c>
      <c r="D312" s="1">
        <v>11</v>
      </c>
      <c r="E312" s="1">
        <v>6</v>
      </c>
      <c r="F312" s="2">
        <f>DATE(WeatherData[[#This Row],[Year]],WeatherData[[#This Row],[Month]],WeatherData[[#This Row],[Day]])</f>
        <v>44141</v>
      </c>
      <c r="G312" s="2" t="str">
        <f>TEXT(WeatherData[[#This Row],[Date]], "mmmm")</f>
        <v>November</v>
      </c>
      <c r="H312" s="16">
        <v>0</v>
      </c>
      <c r="I312" s="16">
        <v>18.2</v>
      </c>
      <c r="J312" s="16">
        <v>8.9</v>
      </c>
      <c r="K312" s="6">
        <f t="shared" si="8"/>
        <v>9.2999999999999989</v>
      </c>
      <c r="L312" s="4" t="str">
        <f t="shared" si="9"/>
        <v>Normal</v>
      </c>
    </row>
    <row r="313" spans="1:12" ht="18" customHeight="1" x14ac:dyDescent="0.3">
      <c r="A313" s="1">
        <v>23034</v>
      </c>
      <c r="B313" s="1" t="str">
        <f>VLOOKUP( WeatherData[[#This Row],[Station Number]], 'Station Numbers'!A:B,2,FALSE)</f>
        <v xml:space="preserve">Adelaide Airport </v>
      </c>
      <c r="C313" s="1">
        <v>2020</v>
      </c>
      <c r="D313" s="1">
        <v>11</v>
      </c>
      <c r="E313" s="1">
        <v>7</v>
      </c>
      <c r="F313" s="2">
        <f>DATE(WeatherData[[#This Row],[Year]],WeatherData[[#This Row],[Month]],WeatherData[[#This Row],[Day]])</f>
        <v>44142</v>
      </c>
      <c r="G313" s="2" t="str">
        <f>TEXT(WeatherData[[#This Row],[Date]], "mmmm")</f>
        <v>November</v>
      </c>
      <c r="H313" s="16">
        <v>0</v>
      </c>
      <c r="I313" s="16">
        <v>23</v>
      </c>
      <c r="J313" s="16">
        <v>11.1</v>
      </c>
      <c r="K313" s="6">
        <f t="shared" si="8"/>
        <v>11.9</v>
      </c>
      <c r="L313" s="4" t="str">
        <f t="shared" si="9"/>
        <v>Normal</v>
      </c>
    </row>
    <row r="314" spans="1:12" ht="18" customHeight="1" x14ac:dyDescent="0.3">
      <c r="A314" s="1">
        <v>23034</v>
      </c>
      <c r="B314" s="1" t="str">
        <f>VLOOKUP( WeatherData[[#This Row],[Station Number]], 'Station Numbers'!A:B,2,FALSE)</f>
        <v xml:space="preserve">Adelaide Airport </v>
      </c>
      <c r="C314" s="1">
        <v>2020</v>
      </c>
      <c r="D314" s="1">
        <v>11</v>
      </c>
      <c r="E314" s="1">
        <v>8</v>
      </c>
      <c r="F314" s="2">
        <f>DATE(WeatherData[[#This Row],[Year]],WeatherData[[#This Row],[Month]],WeatherData[[#This Row],[Day]])</f>
        <v>44143</v>
      </c>
      <c r="G314" s="2" t="str">
        <f>TEXT(WeatherData[[#This Row],[Date]], "mmmm")</f>
        <v>November</v>
      </c>
      <c r="H314" s="16">
        <v>0</v>
      </c>
      <c r="I314" s="16">
        <v>25.3</v>
      </c>
      <c r="J314" s="16">
        <v>11.1</v>
      </c>
      <c r="K314" s="6">
        <f t="shared" si="8"/>
        <v>14.200000000000001</v>
      </c>
      <c r="L314" s="4" t="str">
        <f t="shared" si="9"/>
        <v>Normal</v>
      </c>
    </row>
    <row r="315" spans="1:12" ht="18" customHeight="1" x14ac:dyDescent="0.3">
      <c r="A315" s="1">
        <v>23034</v>
      </c>
      <c r="B315" s="1" t="str">
        <f>VLOOKUP( WeatherData[[#This Row],[Station Number]], 'Station Numbers'!A:B,2,FALSE)</f>
        <v xml:space="preserve">Adelaide Airport </v>
      </c>
      <c r="C315" s="1">
        <v>2020</v>
      </c>
      <c r="D315" s="1">
        <v>11</v>
      </c>
      <c r="E315" s="1">
        <v>9</v>
      </c>
      <c r="F315" s="2">
        <f>DATE(WeatherData[[#This Row],[Year]],WeatherData[[#This Row],[Month]],WeatherData[[#This Row],[Day]])</f>
        <v>44144</v>
      </c>
      <c r="G315" s="2" t="str">
        <f>TEXT(WeatherData[[#This Row],[Date]], "mmmm")</f>
        <v>November</v>
      </c>
      <c r="H315" s="16">
        <v>0</v>
      </c>
      <c r="I315" s="16">
        <v>32.700000000000003</v>
      </c>
      <c r="J315" s="16">
        <v>13.5</v>
      </c>
      <c r="K315" s="6">
        <f t="shared" si="8"/>
        <v>19.200000000000003</v>
      </c>
      <c r="L315" s="4" t="str">
        <f t="shared" si="9"/>
        <v>Normal</v>
      </c>
    </row>
    <row r="316" spans="1:12" ht="18" customHeight="1" x14ac:dyDescent="0.3">
      <c r="A316" s="1">
        <v>23034</v>
      </c>
      <c r="B316" s="1" t="str">
        <f>VLOOKUP( WeatherData[[#This Row],[Station Number]], 'Station Numbers'!A:B,2,FALSE)</f>
        <v xml:space="preserve">Adelaide Airport </v>
      </c>
      <c r="C316" s="1">
        <v>2020</v>
      </c>
      <c r="D316" s="1">
        <v>11</v>
      </c>
      <c r="E316" s="1">
        <v>10</v>
      </c>
      <c r="F316" s="2">
        <f>DATE(WeatherData[[#This Row],[Year]],WeatherData[[#This Row],[Month]],WeatherData[[#This Row],[Day]])</f>
        <v>44145</v>
      </c>
      <c r="G316" s="2" t="str">
        <f>TEXT(WeatherData[[#This Row],[Date]], "mmmm")</f>
        <v>November</v>
      </c>
      <c r="H316" s="16">
        <v>0</v>
      </c>
      <c r="I316" s="16">
        <v>37.299999999999997</v>
      </c>
      <c r="J316" s="16">
        <v>20.5</v>
      </c>
      <c r="K316" s="6">
        <f t="shared" si="8"/>
        <v>16.799999999999997</v>
      </c>
      <c r="L316" s="4" t="str">
        <f t="shared" si="9"/>
        <v>Heatwave</v>
      </c>
    </row>
    <row r="317" spans="1:12" ht="18" customHeight="1" x14ac:dyDescent="0.3">
      <c r="A317" s="1">
        <v>23034</v>
      </c>
      <c r="B317" s="1" t="str">
        <f>VLOOKUP( WeatherData[[#This Row],[Station Number]], 'Station Numbers'!A:B,2,FALSE)</f>
        <v xml:space="preserve">Adelaide Airport </v>
      </c>
      <c r="C317" s="1">
        <v>2020</v>
      </c>
      <c r="D317" s="1">
        <v>11</v>
      </c>
      <c r="E317" s="1">
        <v>11</v>
      </c>
      <c r="F317" s="2">
        <f>DATE(WeatherData[[#This Row],[Year]],WeatherData[[#This Row],[Month]],WeatherData[[#This Row],[Day]])</f>
        <v>44146</v>
      </c>
      <c r="G317" s="2" t="str">
        <f>TEXT(WeatherData[[#This Row],[Date]], "mmmm")</f>
        <v>November</v>
      </c>
      <c r="H317" s="16">
        <v>2</v>
      </c>
      <c r="I317" s="16">
        <v>24.6</v>
      </c>
      <c r="J317" s="16">
        <v>15.5</v>
      </c>
      <c r="K317" s="6">
        <f t="shared" si="8"/>
        <v>9.1000000000000014</v>
      </c>
      <c r="L317" s="4" t="str">
        <f t="shared" si="9"/>
        <v>Normal</v>
      </c>
    </row>
    <row r="318" spans="1:12" ht="18" customHeight="1" x14ac:dyDescent="0.3">
      <c r="A318" s="1">
        <v>23034</v>
      </c>
      <c r="B318" s="1" t="str">
        <f>VLOOKUP( WeatherData[[#This Row],[Station Number]], 'Station Numbers'!A:B,2,FALSE)</f>
        <v xml:space="preserve">Adelaide Airport </v>
      </c>
      <c r="C318" s="1">
        <v>2020</v>
      </c>
      <c r="D318" s="1">
        <v>11</v>
      </c>
      <c r="E318" s="1">
        <v>12</v>
      </c>
      <c r="F318" s="2">
        <f>DATE(WeatherData[[#This Row],[Year]],WeatherData[[#This Row],[Month]],WeatherData[[#This Row],[Day]])</f>
        <v>44147</v>
      </c>
      <c r="G318" s="2" t="str">
        <f>TEXT(WeatherData[[#This Row],[Date]], "mmmm")</f>
        <v>November</v>
      </c>
      <c r="H318" s="16">
        <v>0</v>
      </c>
      <c r="I318" s="16">
        <v>18.2</v>
      </c>
      <c r="J318" s="16">
        <v>15.3</v>
      </c>
      <c r="K318" s="6">
        <f t="shared" si="8"/>
        <v>2.8999999999999986</v>
      </c>
      <c r="L318" s="4" t="str">
        <f t="shared" si="9"/>
        <v>Normal</v>
      </c>
    </row>
    <row r="319" spans="1:12" ht="18" customHeight="1" x14ac:dyDescent="0.3">
      <c r="A319" s="1">
        <v>23034</v>
      </c>
      <c r="B319" s="1" t="str">
        <f>VLOOKUP( WeatherData[[#This Row],[Station Number]], 'Station Numbers'!A:B,2,FALSE)</f>
        <v xml:space="preserve">Adelaide Airport </v>
      </c>
      <c r="C319" s="1">
        <v>2020</v>
      </c>
      <c r="D319" s="1">
        <v>11</v>
      </c>
      <c r="E319" s="1">
        <v>13</v>
      </c>
      <c r="F319" s="2">
        <f>DATE(WeatherData[[#This Row],[Year]],WeatherData[[#This Row],[Month]],WeatherData[[#This Row],[Day]])</f>
        <v>44148</v>
      </c>
      <c r="G319" s="2" t="str">
        <f>TEXT(WeatherData[[#This Row],[Date]], "mmmm")</f>
        <v>November</v>
      </c>
      <c r="H319" s="16">
        <v>0.6</v>
      </c>
      <c r="I319" s="16">
        <v>18.600000000000001</v>
      </c>
      <c r="J319" s="16">
        <v>13.4</v>
      </c>
      <c r="K319" s="6">
        <f t="shared" si="8"/>
        <v>5.2000000000000011</v>
      </c>
      <c r="L319" s="4" t="str">
        <f t="shared" si="9"/>
        <v>Normal</v>
      </c>
    </row>
    <row r="320" spans="1:12" ht="18" customHeight="1" x14ac:dyDescent="0.3">
      <c r="A320" s="1">
        <v>23034</v>
      </c>
      <c r="B320" s="1" t="str">
        <f>VLOOKUP( WeatherData[[#This Row],[Station Number]], 'Station Numbers'!A:B,2,FALSE)</f>
        <v xml:space="preserve">Adelaide Airport </v>
      </c>
      <c r="C320" s="1">
        <v>2020</v>
      </c>
      <c r="D320" s="1">
        <v>11</v>
      </c>
      <c r="E320" s="1">
        <v>14</v>
      </c>
      <c r="F320" s="2">
        <f>DATE(WeatherData[[#This Row],[Year]],WeatherData[[#This Row],[Month]],WeatherData[[#This Row],[Day]])</f>
        <v>44149</v>
      </c>
      <c r="G320" s="2" t="str">
        <f>TEXT(WeatherData[[#This Row],[Date]], "mmmm")</f>
        <v>November</v>
      </c>
      <c r="H320" s="16">
        <v>0</v>
      </c>
      <c r="I320" s="16">
        <v>29.7</v>
      </c>
      <c r="J320" s="16">
        <v>11.3</v>
      </c>
      <c r="K320" s="6">
        <f t="shared" si="8"/>
        <v>18.399999999999999</v>
      </c>
      <c r="L320" s="4" t="str">
        <f t="shared" si="9"/>
        <v>Normal</v>
      </c>
    </row>
    <row r="321" spans="1:12" ht="18" customHeight="1" x14ac:dyDescent="0.3">
      <c r="A321" s="1">
        <v>23034</v>
      </c>
      <c r="B321" s="1" t="str">
        <f>VLOOKUP( WeatherData[[#This Row],[Station Number]], 'Station Numbers'!A:B,2,FALSE)</f>
        <v xml:space="preserve">Adelaide Airport </v>
      </c>
      <c r="C321" s="1">
        <v>2020</v>
      </c>
      <c r="D321" s="1">
        <v>11</v>
      </c>
      <c r="E321" s="1">
        <v>15</v>
      </c>
      <c r="F321" s="2">
        <f>DATE(WeatherData[[#This Row],[Year]],WeatherData[[#This Row],[Month]],WeatherData[[#This Row],[Day]])</f>
        <v>44150</v>
      </c>
      <c r="G321" s="2" t="str">
        <f>TEXT(WeatherData[[#This Row],[Date]], "mmmm")</f>
        <v>November</v>
      </c>
      <c r="H321" s="16">
        <v>0</v>
      </c>
      <c r="I321" s="16">
        <v>37.1</v>
      </c>
      <c r="J321" s="16">
        <v>16.3</v>
      </c>
      <c r="K321" s="6">
        <f t="shared" si="8"/>
        <v>20.8</v>
      </c>
      <c r="L321" s="4" t="str">
        <f t="shared" si="9"/>
        <v>Heatwave</v>
      </c>
    </row>
    <row r="322" spans="1:12" ht="18" customHeight="1" x14ac:dyDescent="0.3">
      <c r="A322" s="1">
        <v>23034</v>
      </c>
      <c r="B322" s="1" t="str">
        <f>VLOOKUP( WeatherData[[#This Row],[Station Number]], 'Station Numbers'!A:B,2,FALSE)</f>
        <v xml:space="preserve">Adelaide Airport </v>
      </c>
      <c r="C322" s="1">
        <v>2020</v>
      </c>
      <c r="D322" s="1">
        <v>11</v>
      </c>
      <c r="E322" s="1">
        <v>16</v>
      </c>
      <c r="F322" s="2">
        <f>DATE(WeatherData[[#This Row],[Year]],WeatherData[[#This Row],[Month]],WeatherData[[#This Row],[Day]])</f>
        <v>44151</v>
      </c>
      <c r="G322" s="2" t="str">
        <f>TEXT(WeatherData[[#This Row],[Date]], "mmmm")</f>
        <v>November</v>
      </c>
      <c r="H322" s="16">
        <v>0</v>
      </c>
      <c r="I322" s="16">
        <v>20.7</v>
      </c>
      <c r="J322" s="16">
        <v>15.6</v>
      </c>
      <c r="K322" s="6">
        <f t="shared" ref="K322:K385" si="10">I322-J322</f>
        <v>5.0999999999999996</v>
      </c>
      <c r="L322" s="4" t="str">
        <f t="shared" ref="L322:L385" si="11">IF(AND(I322&gt;35, H322&gt;20), "Heatwave + Rain",
   IF(I322&gt;35, "Heatwave",
   IF(H322&gt;20, "Heavy Rain",
   IF(I322&lt;10, "Cold",
   "Normal"))))</f>
        <v>Normal</v>
      </c>
    </row>
    <row r="323" spans="1:12" ht="18" customHeight="1" x14ac:dyDescent="0.3">
      <c r="A323" s="1">
        <v>23034</v>
      </c>
      <c r="B323" s="1" t="str">
        <f>VLOOKUP( WeatherData[[#This Row],[Station Number]], 'Station Numbers'!A:B,2,FALSE)</f>
        <v xml:space="preserve">Adelaide Airport </v>
      </c>
      <c r="C323" s="1">
        <v>2020</v>
      </c>
      <c r="D323" s="1">
        <v>11</v>
      </c>
      <c r="E323" s="1">
        <v>17</v>
      </c>
      <c r="F323" s="2">
        <f>DATE(WeatherData[[#This Row],[Year]],WeatherData[[#This Row],[Month]],WeatherData[[#This Row],[Day]])</f>
        <v>44152</v>
      </c>
      <c r="G323" s="2" t="str">
        <f>TEXT(WeatherData[[#This Row],[Date]], "mmmm")</f>
        <v>November</v>
      </c>
      <c r="H323" s="16">
        <v>0</v>
      </c>
      <c r="I323" s="16">
        <v>25.7</v>
      </c>
      <c r="J323" s="16">
        <v>9.1999999999999993</v>
      </c>
      <c r="K323" s="6">
        <f t="shared" si="10"/>
        <v>16.5</v>
      </c>
      <c r="L323" s="4" t="str">
        <f t="shared" si="11"/>
        <v>Normal</v>
      </c>
    </row>
    <row r="324" spans="1:12" ht="18" customHeight="1" x14ac:dyDescent="0.3">
      <c r="A324" s="1">
        <v>23034</v>
      </c>
      <c r="B324" s="1" t="str">
        <f>VLOOKUP( WeatherData[[#This Row],[Station Number]], 'Station Numbers'!A:B,2,FALSE)</f>
        <v xml:space="preserve">Adelaide Airport </v>
      </c>
      <c r="C324" s="1">
        <v>2020</v>
      </c>
      <c r="D324" s="1">
        <v>11</v>
      </c>
      <c r="E324" s="1">
        <v>18</v>
      </c>
      <c r="F324" s="2">
        <f>DATE(WeatherData[[#This Row],[Year]],WeatherData[[#This Row],[Month]],WeatherData[[#This Row],[Day]])</f>
        <v>44153</v>
      </c>
      <c r="G324" s="2" t="str">
        <f>TEXT(WeatherData[[#This Row],[Date]], "mmmm")</f>
        <v>November</v>
      </c>
      <c r="H324" s="16">
        <v>0</v>
      </c>
      <c r="I324" s="16">
        <v>31.9</v>
      </c>
      <c r="J324" s="16">
        <v>12.5</v>
      </c>
      <c r="K324" s="6">
        <f t="shared" si="10"/>
        <v>19.399999999999999</v>
      </c>
      <c r="L324" s="4" t="str">
        <f t="shared" si="11"/>
        <v>Normal</v>
      </c>
    </row>
    <row r="325" spans="1:12" ht="18" customHeight="1" x14ac:dyDescent="0.3">
      <c r="A325" s="1">
        <v>23034</v>
      </c>
      <c r="B325" s="1" t="str">
        <f>VLOOKUP( WeatherData[[#This Row],[Station Number]], 'Station Numbers'!A:B,2,FALSE)</f>
        <v xml:space="preserve">Adelaide Airport </v>
      </c>
      <c r="C325" s="1">
        <v>2020</v>
      </c>
      <c r="D325" s="1">
        <v>11</v>
      </c>
      <c r="E325" s="1">
        <v>19</v>
      </c>
      <c r="F325" s="2">
        <f>DATE(WeatherData[[#This Row],[Year]],WeatherData[[#This Row],[Month]],WeatherData[[#This Row],[Day]])</f>
        <v>44154</v>
      </c>
      <c r="G325" s="2" t="str">
        <f>TEXT(WeatherData[[#This Row],[Date]], "mmmm")</f>
        <v>November</v>
      </c>
      <c r="H325" s="16">
        <v>0</v>
      </c>
      <c r="I325" s="16">
        <v>34.5</v>
      </c>
      <c r="J325" s="16">
        <v>20.6</v>
      </c>
      <c r="K325" s="6">
        <f t="shared" si="10"/>
        <v>13.899999999999999</v>
      </c>
      <c r="L325" s="4" t="str">
        <f t="shared" si="11"/>
        <v>Normal</v>
      </c>
    </row>
    <row r="326" spans="1:12" ht="18" customHeight="1" x14ac:dyDescent="0.3">
      <c r="A326" s="1">
        <v>23034</v>
      </c>
      <c r="B326" s="1" t="str">
        <f>VLOOKUP( WeatherData[[#This Row],[Station Number]], 'Station Numbers'!A:B,2,FALSE)</f>
        <v xml:space="preserve">Adelaide Airport </v>
      </c>
      <c r="C326" s="1">
        <v>2020</v>
      </c>
      <c r="D326" s="1">
        <v>11</v>
      </c>
      <c r="E326" s="1">
        <v>20</v>
      </c>
      <c r="F326" s="2">
        <f>DATE(WeatherData[[#This Row],[Year]],WeatherData[[#This Row],[Month]],WeatherData[[#This Row],[Day]])</f>
        <v>44155</v>
      </c>
      <c r="G326" s="2" t="str">
        <f>TEXT(WeatherData[[#This Row],[Date]], "mmmm")</f>
        <v>November</v>
      </c>
      <c r="H326" s="16">
        <v>0</v>
      </c>
      <c r="I326" s="16">
        <v>29.4</v>
      </c>
      <c r="J326" s="16">
        <v>12.9</v>
      </c>
      <c r="K326" s="6">
        <f t="shared" si="10"/>
        <v>16.5</v>
      </c>
      <c r="L326" s="4" t="str">
        <f t="shared" si="11"/>
        <v>Normal</v>
      </c>
    </row>
    <row r="327" spans="1:12" ht="18" customHeight="1" x14ac:dyDescent="0.3">
      <c r="A327" s="1">
        <v>23034</v>
      </c>
      <c r="B327" s="1" t="str">
        <f>VLOOKUP( WeatherData[[#This Row],[Station Number]], 'Station Numbers'!A:B,2,FALSE)</f>
        <v xml:space="preserve">Adelaide Airport </v>
      </c>
      <c r="C327" s="1">
        <v>2020</v>
      </c>
      <c r="D327" s="1">
        <v>11</v>
      </c>
      <c r="E327" s="1">
        <v>21</v>
      </c>
      <c r="F327" s="2">
        <f>DATE(WeatherData[[#This Row],[Year]],WeatherData[[#This Row],[Month]],WeatherData[[#This Row],[Day]])</f>
        <v>44156</v>
      </c>
      <c r="G327" s="2" t="str">
        <f>TEXT(WeatherData[[#This Row],[Date]], "mmmm")</f>
        <v>November</v>
      </c>
      <c r="H327" s="16">
        <v>0</v>
      </c>
      <c r="I327" s="16">
        <v>38.299999999999997</v>
      </c>
      <c r="J327" s="16">
        <v>17.899999999999999</v>
      </c>
      <c r="K327" s="6">
        <f t="shared" si="10"/>
        <v>20.399999999999999</v>
      </c>
      <c r="L327" s="4" t="str">
        <f t="shared" si="11"/>
        <v>Heatwave</v>
      </c>
    </row>
    <row r="328" spans="1:12" ht="18" customHeight="1" x14ac:dyDescent="0.3">
      <c r="A328" s="1">
        <v>23034</v>
      </c>
      <c r="B328" s="1" t="str">
        <f>VLOOKUP( WeatherData[[#This Row],[Station Number]], 'Station Numbers'!A:B,2,FALSE)</f>
        <v xml:space="preserve">Adelaide Airport </v>
      </c>
      <c r="C328" s="1">
        <v>2020</v>
      </c>
      <c r="D328" s="1">
        <v>11</v>
      </c>
      <c r="E328" s="1">
        <v>22</v>
      </c>
      <c r="F328" s="2">
        <f>DATE(WeatherData[[#This Row],[Year]],WeatherData[[#This Row],[Month]],WeatherData[[#This Row],[Day]])</f>
        <v>44157</v>
      </c>
      <c r="G328" s="2" t="str">
        <f>TEXT(WeatherData[[#This Row],[Date]], "mmmm")</f>
        <v>November</v>
      </c>
      <c r="H328" s="16">
        <v>0.8</v>
      </c>
      <c r="I328" s="16">
        <v>30.4</v>
      </c>
      <c r="J328" s="16">
        <v>23.5</v>
      </c>
      <c r="K328" s="6">
        <f t="shared" si="10"/>
        <v>6.8999999999999986</v>
      </c>
      <c r="L328" s="4" t="str">
        <f t="shared" si="11"/>
        <v>Normal</v>
      </c>
    </row>
    <row r="329" spans="1:12" ht="18" customHeight="1" x14ac:dyDescent="0.3">
      <c r="A329" s="1">
        <v>23034</v>
      </c>
      <c r="B329" s="1" t="str">
        <f>VLOOKUP( WeatherData[[#This Row],[Station Number]], 'Station Numbers'!A:B,2,FALSE)</f>
        <v xml:space="preserve">Adelaide Airport </v>
      </c>
      <c r="C329" s="1">
        <v>2020</v>
      </c>
      <c r="D329" s="1">
        <v>11</v>
      </c>
      <c r="E329" s="1">
        <v>23</v>
      </c>
      <c r="F329" s="2">
        <f>DATE(WeatherData[[#This Row],[Year]],WeatherData[[#This Row],[Month]],WeatherData[[#This Row],[Day]])</f>
        <v>44158</v>
      </c>
      <c r="G329" s="2" t="str">
        <f>TEXT(WeatherData[[#This Row],[Date]], "mmmm")</f>
        <v>November</v>
      </c>
      <c r="H329" s="16">
        <v>3.2</v>
      </c>
      <c r="I329" s="16">
        <v>21</v>
      </c>
      <c r="J329" s="16">
        <v>15.9</v>
      </c>
      <c r="K329" s="6">
        <f t="shared" si="10"/>
        <v>5.0999999999999996</v>
      </c>
      <c r="L329" s="4" t="str">
        <f t="shared" si="11"/>
        <v>Normal</v>
      </c>
    </row>
    <row r="330" spans="1:12" ht="18" customHeight="1" x14ac:dyDescent="0.3">
      <c r="A330" s="1">
        <v>23034</v>
      </c>
      <c r="B330" s="1" t="str">
        <f>VLOOKUP( WeatherData[[#This Row],[Station Number]], 'Station Numbers'!A:B,2,FALSE)</f>
        <v xml:space="preserve">Adelaide Airport </v>
      </c>
      <c r="C330" s="1">
        <v>2020</v>
      </c>
      <c r="D330" s="1">
        <v>11</v>
      </c>
      <c r="E330" s="1">
        <v>24</v>
      </c>
      <c r="F330" s="2">
        <f>DATE(WeatherData[[#This Row],[Year]],WeatherData[[#This Row],[Month]],WeatherData[[#This Row],[Day]])</f>
        <v>44159</v>
      </c>
      <c r="G330" s="2" t="str">
        <f>TEXT(WeatherData[[#This Row],[Date]], "mmmm")</f>
        <v>November</v>
      </c>
      <c r="H330" s="16">
        <v>0</v>
      </c>
      <c r="I330" s="16">
        <v>23.1</v>
      </c>
      <c r="J330" s="16">
        <v>11.3</v>
      </c>
      <c r="K330" s="6">
        <f t="shared" si="10"/>
        <v>11.8</v>
      </c>
      <c r="L330" s="4" t="str">
        <f t="shared" si="11"/>
        <v>Normal</v>
      </c>
    </row>
    <row r="331" spans="1:12" ht="18" customHeight="1" x14ac:dyDescent="0.3">
      <c r="A331" s="1">
        <v>23034</v>
      </c>
      <c r="B331" s="1" t="str">
        <f>VLOOKUP( WeatherData[[#This Row],[Station Number]], 'Station Numbers'!A:B,2,FALSE)</f>
        <v xml:space="preserve">Adelaide Airport </v>
      </c>
      <c r="C331" s="1">
        <v>2020</v>
      </c>
      <c r="D331" s="1">
        <v>11</v>
      </c>
      <c r="E331" s="1">
        <v>25</v>
      </c>
      <c r="F331" s="2">
        <f>DATE(WeatherData[[#This Row],[Year]],WeatherData[[#This Row],[Month]],WeatherData[[#This Row],[Day]])</f>
        <v>44160</v>
      </c>
      <c r="G331" s="2" t="str">
        <f>TEXT(WeatherData[[#This Row],[Date]], "mmmm")</f>
        <v>November</v>
      </c>
      <c r="H331" s="16">
        <v>0</v>
      </c>
      <c r="I331" s="16">
        <v>33.6</v>
      </c>
      <c r="J331" s="16">
        <v>13.6</v>
      </c>
      <c r="K331" s="6">
        <f t="shared" si="10"/>
        <v>20</v>
      </c>
      <c r="L331" s="4" t="str">
        <f t="shared" si="11"/>
        <v>Normal</v>
      </c>
    </row>
    <row r="332" spans="1:12" ht="18" customHeight="1" x14ac:dyDescent="0.3">
      <c r="A332" s="1">
        <v>23034</v>
      </c>
      <c r="B332" s="1" t="str">
        <f>VLOOKUP( WeatherData[[#This Row],[Station Number]], 'Station Numbers'!A:B,2,FALSE)</f>
        <v xml:space="preserve">Adelaide Airport </v>
      </c>
      <c r="C332" s="1">
        <v>2020</v>
      </c>
      <c r="D332" s="1">
        <v>11</v>
      </c>
      <c r="E332" s="1">
        <v>26</v>
      </c>
      <c r="F332" s="2">
        <f>DATE(WeatherData[[#This Row],[Year]],WeatherData[[#This Row],[Month]],WeatherData[[#This Row],[Day]])</f>
        <v>44161</v>
      </c>
      <c r="G332" s="2" t="str">
        <f>TEXT(WeatherData[[#This Row],[Date]], "mmmm")</f>
        <v>November</v>
      </c>
      <c r="H332" s="16">
        <v>0</v>
      </c>
      <c r="I332" s="16">
        <v>32.700000000000003</v>
      </c>
      <c r="J332" s="16">
        <v>16.3</v>
      </c>
      <c r="K332" s="6">
        <f t="shared" si="10"/>
        <v>16.400000000000002</v>
      </c>
      <c r="L332" s="4" t="str">
        <f t="shared" si="11"/>
        <v>Normal</v>
      </c>
    </row>
    <row r="333" spans="1:12" ht="18" customHeight="1" x14ac:dyDescent="0.3">
      <c r="A333" s="1">
        <v>23034</v>
      </c>
      <c r="B333" s="1" t="str">
        <f>VLOOKUP( WeatherData[[#This Row],[Station Number]], 'Station Numbers'!A:B,2,FALSE)</f>
        <v xml:space="preserve">Adelaide Airport </v>
      </c>
      <c r="C333" s="1">
        <v>2020</v>
      </c>
      <c r="D333" s="1">
        <v>11</v>
      </c>
      <c r="E333" s="1">
        <v>27</v>
      </c>
      <c r="F333" s="2">
        <f>DATE(WeatherData[[#This Row],[Year]],WeatherData[[#This Row],[Month]],WeatherData[[#This Row],[Day]])</f>
        <v>44162</v>
      </c>
      <c r="G333" s="2" t="str">
        <f>TEXT(WeatherData[[#This Row],[Date]], "mmmm")</f>
        <v>November</v>
      </c>
      <c r="H333" s="16">
        <v>0</v>
      </c>
      <c r="I333" s="16">
        <v>38.299999999999997</v>
      </c>
      <c r="J333" s="16">
        <v>17.8</v>
      </c>
      <c r="K333" s="6">
        <f t="shared" si="10"/>
        <v>20.499999999999996</v>
      </c>
      <c r="L333" s="4" t="str">
        <f t="shared" si="11"/>
        <v>Heatwave</v>
      </c>
    </row>
    <row r="334" spans="1:12" ht="18" customHeight="1" x14ac:dyDescent="0.3">
      <c r="A334" s="1">
        <v>23034</v>
      </c>
      <c r="B334" s="1" t="str">
        <f>VLOOKUP( WeatherData[[#This Row],[Station Number]], 'Station Numbers'!A:B,2,FALSE)</f>
        <v xml:space="preserve">Adelaide Airport </v>
      </c>
      <c r="C334" s="1">
        <v>2020</v>
      </c>
      <c r="D334" s="1">
        <v>11</v>
      </c>
      <c r="E334" s="1">
        <v>28</v>
      </c>
      <c r="F334" s="2">
        <f>DATE(WeatherData[[#This Row],[Year]],WeatherData[[#This Row],[Month]],WeatherData[[#This Row],[Day]])</f>
        <v>44163</v>
      </c>
      <c r="G334" s="2" t="str">
        <f>TEXT(WeatherData[[#This Row],[Date]], "mmmm")</f>
        <v>November</v>
      </c>
      <c r="H334" s="16">
        <v>0</v>
      </c>
      <c r="I334" s="16">
        <v>33.6</v>
      </c>
      <c r="J334" s="16">
        <v>21.5</v>
      </c>
      <c r="K334" s="6">
        <f t="shared" si="10"/>
        <v>12.100000000000001</v>
      </c>
      <c r="L334" s="4" t="str">
        <f t="shared" si="11"/>
        <v>Normal</v>
      </c>
    </row>
    <row r="335" spans="1:12" ht="18" customHeight="1" x14ac:dyDescent="0.3">
      <c r="A335" s="1">
        <v>23034</v>
      </c>
      <c r="B335" s="1" t="str">
        <f>VLOOKUP( WeatherData[[#This Row],[Station Number]], 'Station Numbers'!A:B,2,FALSE)</f>
        <v xml:space="preserve">Adelaide Airport </v>
      </c>
      <c r="C335" s="1">
        <v>2020</v>
      </c>
      <c r="D335" s="1">
        <v>11</v>
      </c>
      <c r="E335" s="1">
        <v>29</v>
      </c>
      <c r="F335" s="2">
        <f>DATE(WeatherData[[#This Row],[Year]],WeatherData[[#This Row],[Month]],WeatherData[[#This Row],[Day]])</f>
        <v>44164</v>
      </c>
      <c r="G335" s="2" t="str">
        <f>TEXT(WeatherData[[#This Row],[Date]], "mmmm")</f>
        <v>November</v>
      </c>
      <c r="H335" s="16">
        <v>2</v>
      </c>
      <c r="I335" s="16">
        <v>22.1</v>
      </c>
      <c r="J335" s="16">
        <v>14.7</v>
      </c>
      <c r="K335" s="6">
        <f t="shared" si="10"/>
        <v>7.4000000000000021</v>
      </c>
      <c r="L335" s="4" t="str">
        <f t="shared" si="11"/>
        <v>Normal</v>
      </c>
    </row>
    <row r="336" spans="1:12" ht="18" customHeight="1" x14ac:dyDescent="0.3">
      <c r="A336" s="1">
        <v>23034</v>
      </c>
      <c r="B336" s="1" t="str">
        <f>VLOOKUP( WeatherData[[#This Row],[Station Number]], 'Station Numbers'!A:B,2,FALSE)</f>
        <v xml:space="preserve">Adelaide Airport </v>
      </c>
      <c r="C336" s="1">
        <v>2020</v>
      </c>
      <c r="D336" s="1">
        <v>11</v>
      </c>
      <c r="E336" s="1">
        <v>30</v>
      </c>
      <c r="F336" s="2">
        <f>DATE(WeatherData[[#This Row],[Year]],WeatherData[[#This Row],[Month]],WeatherData[[#This Row],[Day]])</f>
        <v>44165</v>
      </c>
      <c r="G336" s="2" t="str">
        <f>TEXT(WeatherData[[#This Row],[Date]], "mmmm")</f>
        <v>November</v>
      </c>
      <c r="H336" s="16">
        <v>0</v>
      </c>
      <c r="I336" s="16">
        <v>31</v>
      </c>
      <c r="J336" s="16">
        <v>11.8</v>
      </c>
      <c r="K336" s="6">
        <f t="shared" si="10"/>
        <v>19.2</v>
      </c>
      <c r="L336" s="4" t="str">
        <f t="shared" si="11"/>
        <v>Normal</v>
      </c>
    </row>
    <row r="337" spans="1:12" ht="18" customHeight="1" x14ac:dyDescent="0.3">
      <c r="A337" s="1">
        <v>23034</v>
      </c>
      <c r="B337" s="1" t="str">
        <f>VLOOKUP( WeatherData[[#This Row],[Station Number]], 'Station Numbers'!A:B,2,FALSE)</f>
        <v xml:space="preserve">Adelaide Airport </v>
      </c>
      <c r="C337" s="1">
        <v>2020</v>
      </c>
      <c r="D337" s="1">
        <v>12</v>
      </c>
      <c r="E337" s="1">
        <v>1</v>
      </c>
      <c r="F337" s="2">
        <f>DATE(WeatherData[[#This Row],[Year]],WeatherData[[#This Row],[Month]],WeatherData[[#This Row],[Day]])</f>
        <v>44166</v>
      </c>
      <c r="G337" s="2" t="str">
        <f>TEXT(WeatherData[[#This Row],[Date]], "mmmm")</f>
        <v>December</v>
      </c>
      <c r="H337" s="16">
        <v>3.4</v>
      </c>
      <c r="I337" s="16">
        <v>20.7</v>
      </c>
      <c r="J337" s="16">
        <v>17.7</v>
      </c>
      <c r="K337" s="6">
        <f t="shared" si="10"/>
        <v>3</v>
      </c>
      <c r="L337" s="4" t="str">
        <f t="shared" si="11"/>
        <v>Normal</v>
      </c>
    </row>
    <row r="338" spans="1:12" ht="18" customHeight="1" x14ac:dyDescent="0.3">
      <c r="A338" s="1">
        <v>23034</v>
      </c>
      <c r="B338" s="1" t="str">
        <f>VLOOKUP( WeatherData[[#This Row],[Station Number]], 'Station Numbers'!A:B,2,FALSE)</f>
        <v xml:space="preserve">Adelaide Airport </v>
      </c>
      <c r="C338" s="1">
        <v>2020</v>
      </c>
      <c r="D338" s="1">
        <v>12</v>
      </c>
      <c r="E338" s="1">
        <v>2</v>
      </c>
      <c r="F338" s="2">
        <f>DATE(WeatherData[[#This Row],[Year]],WeatherData[[#This Row],[Month]],WeatherData[[#This Row],[Day]])</f>
        <v>44167</v>
      </c>
      <c r="G338" s="2" t="str">
        <f>TEXT(WeatherData[[#This Row],[Date]], "mmmm")</f>
        <v>December</v>
      </c>
      <c r="H338" s="16">
        <v>0</v>
      </c>
      <c r="I338" s="16">
        <v>21.5</v>
      </c>
      <c r="J338" s="16">
        <v>13.9</v>
      </c>
      <c r="K338" s="6">
        <f t="shared" si="10"/>
        <v>7.6</v>
      </c>
      <c r="L338" s="4" t="str">
        <f t="shared" si="11"/>
        <v>Normal</v>
      </c>
    </row>
    <row r="339" spans="1:12" ht="18" customHeight="1" x14ac:dyDescent="0.3">
      <c r="A339" s="1">
        <v>23034</v>
      </c>
      <c r="B339" s="1" t="str">
        <f>VLOOKUP( WeatherData[[#This Row],[Station Number]], 'Station Numbers'!A:B,2,FALSE)</f>
        <v xml:space="preserve">Adelaide Airport </v>
      </c>
      <c r="C339" s="1">
        <v>2020</v>
      </c>
      <c r="D339" s="1">
        <v>12</v>
      </c>
      <c r="E339" s="1">
        <v>3</v>
      </c>
      <c r="F339" s="2">
        <f>DATE(WeatherData[[#This Row],[Year]],WeatherData[[#This Row],[Month]],WeatherData[[#This Row],[Day]])</f>
        <v>44168</v>
      </c>
      <c r="G339" s="2" t="str">
        <f>TEXT(WeatherData[[#This Row],[Date]], "mmmm")</f>
        <v>December</v>
      </c>
      <c r="H339" s="16">
        <v>0</v>
      </c>
      <c r="I339" s="16">
        <v>27.5</v>
      </c>
      <c r="J339" s="16">
        <v>9.6</v>
      </c>
      <c r="K339" s="6">
        <f t="shared" si="10"/>
        <v>17.899999999999999</v>
      </c>
      <c r="L339" s="4" t="str">
        <f t="shared" si="11"/>
        <v>Normal</v>
      </c>
    </row>
    <row r="340" spans="1:12" ht="18" customHeight="1" x14ac:dyDescent="0.3">
      <c r="A340" s="1">
        <v>23034</v>
      </c>
      <c r="B340" s="1" t="str">
        <f>VLOOKUP( WeatherData[[#This Row],[Station Number]], 'Station Numbers'!A:B,2,FALSE)</f>
        <v xml:space="preserve">Adelaide Airport </v>
      </c>
      <c r="C340" s="1">
        <v>2020</v>
      </c>
      <c r="D340" s="1">
        <v>12</v>
      </c>
      <c r="E340" s="1">
        <v>4</v>
      </c>
      <c r="F340" s="2">
        <f>DATE(WeatherData[[#This Row],[Year]],WeatherData[[#This Row],[Month]],WeatherData[[#This Row],[Day]])</f>
        <v>44169</v>
      </c>
      <c r="G340" s="2" t="str">
        <f>TEXT(WeatherData[[#This Row],[Date]], "mmmm")</f>
        <v>December</v>
      </c>
      <c r="H340" s="16">
        <v>0</v>
      </c>
      <c r="I340" s="16">
        <v>31.4</v>
      </c>
      <c r="J340" s="16">
        <v>11.5</v>
      </c>
      <c r="K340" s="6">
        <f t="shared" si="10"/>
        <v>19.899999999999999</v>
      </c>
      <c r="L340" s="4" t="str">
        <f t="shared" si="11"/>
        <v>Normal</v>
      </c>
    </row>
    <row r="341" spans="1:12" ht="18" customHeight="1" x14ac:dyDescent="0.3">
      <c r="A341" s="1">
        <v>23034</v>
      </c>
      <c r="B341" s="1" t="str">
        <f>VLOOKUP( WeatherData[[#This Row],[Station Number]], 'Station Numbers'!A:B,2,FALSE)</f>
        <v xml:space="preserve">Adelaide Airport </v>
      </c>
      <c r="C341" s="1">
        <v>2020</v>
      </c>
      <c r="D341" s="1">
        <v>12</v>
      </c>
      <c r="E341" s="1">
        <v>5</v>
      </c>
      <c r="F341" s="2">
        <f>DATE(WeatherData[[#This Row],[Year]],WeatherData[[#This Row],[Month]],WeatherData[[#This Row],[Day]])</f>
        <v>44170</v>
      </c>
      <c r="G341" s="2" t="str">
        <f>TEXT(WeatherData[[#This Row],[Date]], "mmmm")</f>
        <v>December</v>
      </c>
      <c r="H341" s="16">
        <v>0.4</v>
      </c>
      <c r="I341" s="16">
        <v>23.4</v>
      </c>
      <c r="J341" s="16">
        <v>21</v>
      </c>
      <c r="K341" s="6">
        <f t="shared" si="10"/>
        <v>2.3999999999999986</v>
      </c>
      <c r="L341" s="4" t="str">
        <f t="shared" si="11"/>
        <v>Normal</v>
      </c>
    </row>
    <row r="342" spans="1:12" ht="18" customHeight="1" x14ac:dyDescent="0.3">
      <c r="A342" s="1">
        <v>23034</v>
      </c>
      <c r="B342" s="1" t="str">
        <f>VLOOKUP( WeatherData[[#This Row],[Station Number]], 'Station Numbers'!A:B,2,FALSE)</f>
        <v xml:space="preserve">Adelaide Airport </v>
      </c>
      <c r="C342" s="1">
        <v>2020</v>
      </c>
      <c r="D342" s="1">
        <v>12</v>
      </c>
      <c r="E342" s="1">
        <v>6</v>
      </c>
      <c r="F342" s="2">
        <f>DATE(WeatherData[[#This Row],[Year]],WeatherData[[#This Row],[Month]],WeatherData[[#This Row],[Day]])</f>
        <v>44171</v>
      </c>
      <c r="G342" s="2" t="str">
        <f>TEXT(WeatherData[[#This Row],[Date]], "mmmm")</f>
        <v>December</v>
      </c>
      <c r="H342" s="16">
        <v>1.4</v>
      </c>
      <c r="I342" s="16">
        <v>21.4</v>
      </c>
      <c r="J342" s="16">
        <v>13.7</v>
      </c>
      <c r="K342" s="6">
        <f t="shared" si="10"/>
        <v>7.6999999999999993</v>
      </c>
      <c r="L342" s="4" t="str">
        <f t="shared" si="11"/>
        <v>Normal</v>
      </c>
    </row>
    <row r="343" spans="1:12" ht="18" customHeight="1" x14ac:dyDescent="0.3">
      <c r="A343" s="1">
        <v>23034</v>
      </c>
      <c r="B343" s="1" t="str">
        <f>VLOOKUP( WeatherData[[#This Row],[Station Number]], 'Station Numbers'!A:B,2,FALSE)</f>
        <v xml:space="preserve">Adelaide Airport </v>
      </c>
      <c r="C343" s="1">
        <v>2020</v>
      </c>
      <c r="D343" s="1">
        <v>12</v>
      </c>
      <c r="E343" s="1">
        <v>7</v>
      </c>
      <c r="F343" s="2">
        <f>DATE(WeatherData[[#This Row],[Year]],WeatherData[[#This Row],[Month]],WeatherData[[#This Row],[Day]])</f>
        <v>44172</v>
      </c>
      <c r="G343" s="2" t="str">
        <f>TEXT(WeatherData[[#This Row],[Date]], "mmmm")</f>
        <v>December</v>
      </c>
      <c r="H343" s="16">
        <v>2.6</v>
      </c>
      <c r="I343" s="16">
        <v>18.2</v>
      </c>
      <c r="J343" s="16">
        <v>12.8</v>
      </c>
      <c r="K343" s="6">
        <f t="shared" si="10"/>
        <v>5.3999999999999986</v>
      </c>
      <c r="L343" s="4" t="str">
        <f t="shared" si="11"/>
        <v>Normal</v>
      </c>
    </row>
    <row r="344" spans="1:12" ht="18" customHeight="1" x14ac:dyDescent="0.3">
      <c r="A344" s="1">
        <v>23034</v>
      </c>
      <c r="B344" s="1" t="str">
        <f>VLOOKUP( WeatherData[[#This Row],[Station Number]], 'Station Numbers'!A:B,2,FALSE)</f>
        <v xml:space="preserve">Adelaide Airport </v>
      </c>
      <c r="C344" s="1">
        <v>2020</v>
      </c>
      <c r="D344" s="1">
        <v>12</v>
      </c>
      <c r="E344" s="1">
        <v>8</v>
      </c>
      <c r="F344" s="2">
        <f>DATE(WeatherData[[#This Row],[Year]],WeatherData[[#This Row],[Month]],WeatherData[[#This Row],[Day]])</f>
        <v>44173</v>
      </c>
      <c r="G344" s="2" t="str">
        <f>TEXT(WeatherData[[#This Row],[Date]], "mmmm")</f>
        <v>December</v>
      </c>
      <c r="H344" s="16">
        <v>2</v>
      </c>
      <c r="I344" s="16">
        <v>19</v>
      </c>
      <c r="J344" s="16">
        <v>12.6</v>
      </c>
      <c r="K344" s="6">
        <f t="shared" si="10"/>
        <v>6.4</v>
      </c>
      <c r="L344" s="4" t="str">
        <f t="shared" si="11"/>
        <v>Normal</v>
      </c>
    </row>
    <row r="345" spans="1:12" ht="18" customHeight="1" x14ac:dyDescent="0.3">
      <c r="A345" s="1">
        <v>23034</v>
      </c>
      <c r="B345" s="1" t="str">
        <f>VLOOKUP( WeatherData[[#This Row],[Station Number]], 'Station Numbers'!A:B,2,FALSE)</f>
        <v xml:space="preserve">Adelaide Airport </v>
      </c>
      <c r="C345" s="1">
        <v>2020</v>
      </c>
      <c r="D345" s="1">
        <v>12</v>
      </c>
      <c r="E345" s="1">
        <v>9</v>
      </c>
      <c r="F345" s="2">
        <f>DATE(WeatherData[[#This Row],[Year]],WeatherData[[#This Row],[Month]],WeatherData[[#This Row],[Day]])</f>
        <v>44174</v>
      </c>
      <c r="G345" s="2" t="str">
        <f>TEXT(WeatherData[[#This Row],[Date]], "mmmm")</f>
        <v>December</v>
      </c>
      <c r="H345" s="16">
        <v>0</v>
      </c>
      <c r="I345" s="16">
        <v>24.8</v>
      </c>
      <c r="J345" s="16">
        <v>9.6999999999999993</v>
      </c>
      <c r="K345" s="6">
        <f t="shared" si="10"/>
        <v>15.100000000000001</v>
      </c>
      <c r="L345" s="4" t="str">
        <f t="shared" si="11"/>
        <v>Normal</v>
      </c>
    </row>
    <row r="346" spans="1:12" ht="18" customHeight="1" x14ac:dyDescent="0.3">
      <c r="A346" s="1">
        <v>23034</v>
      </c>
      <c r="B346" s="1" t="str">
        <f>VLOOKUP( WeatherData[[#This Row],[Station Number]], 'Station Numbers'!A:B,2,FALSE)</f>
        <v xml:space="preserve">Adelaide Airport </v>
      </c>
      <c r="C346" s="1">
        <v>2020</v>
      </c>
      <c r="D346" s="1">
        <v>12</v>
      </c>
      <c r="E346" s="1">
        <v>10</v>
      </c>
      <c r="F346" s="2">
        <f>DATE(WeatherData[[#This Row],[Year]],WeatherData[[#This Row],[Month]],WeatherData[[#This Row],[Day]])</f>
        <v>44175</v>
      </c>
      <c r="G346" s="2" t="str">
        <f>TEXT(WeatherData[[#This Row],[Date]], "mmmm")</f>
        <v>December</v>
      </c>
      <c r="H346" s="16">
        <v>0</v>
      </c>
      <c r="I346" s="16">
        <v>25.9</v>
      </c>
      <c r="J346" s="16">
        <v>14.1</v>
      </c>
      <c r="K346" s="6">
        <f t="shared" si="10"/>
        <v>11.799999999999999</v>
      </c>
      <c r="L346" s="4" t="str">
        <f t="shared" si="11"/>
        <v>Normal</v>
      </c>
    </row>
    <row r="347" spans="1:12" ht="18" customHeight="1" x14ac:dyDescent="0.3">
      <c r="A347" s="1">
        <v>23034</v>
      </c>
      <c r="B347" s="1" t="str">
        <f>VLOOKUP( WeatherData[[#This Row],[Station Number]], 'Station Numbers'!A:B,2,FALSE)</f>
        <v xml:space="preserve">Adelaide Airport </v>
      </c>
      <c r="C347" s="1">
        <v>2020</v>
      </c>
      <c r="D347" s="1">
        <v>12</v>
      </c>
      <c r="E347" s="1">
        <v>11</v>
      </c>
      <c r="F347" s="2">
        <f>DATE(WeatherData[[#This Row],[Year]],WeatherData[[#This Row],[Month]],WeatherData[[#This Row],[Day]])</f>
        <v>44176</v>
      </c>
      <c r="G347" s="2" t="str">
        <f>TEXT(WeatherData[[#This Row],[Date]], "mmmm")</f>
        <v>December</v>
      </c>
      <c r="H347" s="16">
        <v>0</v>
      </c>
      <c r="I347" s="16">
        <v>30.2</v>
      </c>
      <c r="J347" s="16">
        <v>11.2</v>
      </c>
      <c r="K347" s="6">
        <f t="shared" si="10"/>
        <v>19</v>
      </c>
      <c r="L347" s="4" t="str">
        <f t="shared" si="11"/>
        <v>Normal</v>
      </c>
    </row>
    <row r="348" spans="1:12" ht="18" customHeight="1" x14ac:dyDescent="0.3">
      <c r="A348" s="1">
        <v>23034</v>
      </c>
      <c r="B348" s="1" t="str">
        <f>VLOOKUP( WeatherData[[#This Row],[Station Number]], 'Station Numbers'!A:B,2,FALSE)</f>
        <v xml:space="preserve">Adelaide Airport </v>
      </c>
      <c r="C348" s="1">
        <v>2020</v>
      </c>
      <c r="D348" s="1">
        <v>12</v>
      </c>
      <c r="E348" s="1">
        <v>12</v>
      </c>
      <c r="F348" s="2">
        <f>DATE(WeatherData[[#This Row],[Year]],WeatherData[[#This Row],[Month]],WeatherData[[#This Row],[Day]])</f>
        <v>44177</v>
      </c>
      <c r="G348" s="2" t="str">
        <f>TEXT(WeatherData[[#This Row],[Date]], "mmmm")</f>
        <v>December</v>
      </c>
      <c r="H348" s="16">
        <v>0</v>
      </c>
      <c r="I348" s="16">
        <v>37.1</v>
      </c>
      <c r="J348" s="16">
        <v>18</v>
      </c>
      <c r="K348" s="6">
        <f t="shared" si="10"/>
        <v>19.100000000000001</v>
      </c>
      <c r="L348" s="4" t="str">
        <f t="shared" si="11"/>
        <v>Heatwave</v>
      </c>
    </row>
    <row r="349" spans="1:12" ht="18" customHeight="1" x14ac:dyDescent="0.3">
      <c r="A349" s="1">
        <v>23034</v>
      </c>
      <c r="B349" s="1" t="str">
        <f>VLOOKUP( WeatherData[[#This Row],[Station Number]], 'Station Numbers'!A:B,2,FALSE)</f>
        <v xml:space="preserve">Adelaide Airport </v>
      </c>
      <c r="C349" s="1">
        <v>2020</v>
      </c>
      <c r="D349" s="1">
        <v>12</v>
      </c>
      <c r="E349" s="1">
        <v>13</v>
      </c>
      <c r="F349" s="2">
        <f>DATE(WeatherData[[#This Row],[Year]],WeatherData[[#This Row],[Month]],WeatherData[[#This Row],[Day]])</f>
        <v>44178</v>
      </c>
      <c r="G349" s="2" t="str">
        <f>TEXT(WeatherData[[#This Row],[Date]], "mmmm")</f>
        <v>December</v>
      </c>
      <c r="H349" s="16">
        <v>0</v>
      </c>
      <c r="I349" s="16">
        <v>31.7</v>
      </c>
      <c r="J349" s="16">
        <v>24.3</v>
      </c>
      <c r="K349" s="6">
        <f t="shared" si="10"/>
        <v>7.3999999999999986</v>
      </c>
      <c r="L349" s="4" t="str">
        <f t="shared" si="11"/>
        <v>Normal</v>
      </c>
    </row>
    <row r="350" spans="1:12" ht="18" customHeight="1" x14ac:dyDescent="0.3">
      <c r="A350" s="1">
        <v>23034</v>
      </c>
      <c r="B350" s="1" t="str">
        <f>VLOOKUP( WeatherData[[#This Row],[Station Number]], 'Station Numbers'!A:B,2,FALSE)</f>
        <v xml:space="preserve">Adelaide Airport </v>
      </c>
      <c r="C350" s="1">
        <v>2020</v>
      </c>
      <c r="D350" s="1">
        <v>12</v>
      </c>
      <c r="E350" s="1">
        <v>14</v>
      </c>
      <c r="F350" s="2">
        <f>DATE(WeatherData[[#This Row],[Year]],WeatherData[[#This Row],[Month]],WeatherData[[#This Row],[Day]])</f>
        <v>44179</v>
      </c>
      <c r="G350" s="2" t="str">
        <f>TEXT(WeatherData[[#This Row],[Date]], "mmmm")</f>
        <v>December</v>
      </c>
      <c r="H350" s="16">
        <v>0</v>
      </c>
      <c r="I350" s="16">
        <v>36.700000000000003</v>
      </c>
      <c r="J350" s="16">
        <v>24.2</v>
      </c>
      <c r="K350" s="6">
        <f t="shared" si="10"/>
        <v>12.500000000000004</v>
      </c>
      <c r="L350" s="4" t="str">
        <f t="shared" si="11"/>
        <v>Heatwave</v>
      </c>
    </row>
    <row r="351" spans="1:12" ht="18" customHeight="1" x14ac:dyDescent="0.3">
      <c r="A351" s="1">
        <v>23034</v>
      </c>
      <c r="B351" s="1" t="str">
        <f>VLOOKUP( WeatherData[[#This Row],[Station Number]], 'Station Numbers'!A:B,2,FALSE)</f>
        <v xml:space="preserve">Adelaide Airport </v>
      </c>
      <c r="C351" s="1">
        <v>2020</v>
      </c>
      <c r="D351" s="1">
        <v>12</v>
      </c>
      <c r="E351" s="1">
        <v>15</v>
      </c>
      <c r="F351" s="2">
        <f>DATE(WeatherData[[#This Row],[Year]],WeatherData[[#This Row],[Month]],WeatherData[[#This Row],[Day]])</f>
        <v>44180</v>
      </c>
      <c r="G351" s="2" t="str">
        <f>TEXT(WeatherData[[#This Row],[Date]], "mmmm")</f>
        <v>December</v>
      </c>
      <c r="H351" s="16">
        <v>0</v>
      </c>
      <c r="I351" s="16">
        <v>30</v>
      </c>
      <c r="J351" s="16">
        <v>20</v>
      </c>
      <c r="K351" s="6">
        <f t="shared" si="10"/>
        <v>10</v>
      </c>
      <c r="L351" s="4" t="str">
        <f t="shared" si="11"/>
        <v>Normal</v>
      </c>
    </row>
    <row r="352" spans="1:12" ht="18" customHeight="1" x14ac:dyDescent="0.3">
      <c r="A352" s="1">
        <v>23034</v>
      </c>
      <c r="B352" s="1" t="str">
        <f>VLOOKUP( WeatherData[[#This Row],[Station Number]], 'Station Numbers'!A:B,2,FALSE)</f>
        <v xml:space="preserve">Adelaide Airport </v>
      </c>
      <c r="C352" s="1">
        <v>2020</v>
      </c>
      <c r="D352" s="1">
        <v>12</v>
      </c>
      <c r="E352" s="1">
        <v>16</v>
      </c>
      <c r="F352" s="2">
        <f>DATE(WeatherData[[#This Row],[Year]],WeatherData[[#This Row],[Month]],WeatherData[[#This Row],[Day]])</f>
        <v>44181</v>
      </c>
      <c r="G352" s="2" t="str">
        <f>TEXT(WeatherData[[#This Row],[Date]], "mmmm")</f>
        <v>December</v>
      </c>
      <c r="H352" s="16">
        <v>0</v>
      </c>
      <c r="I352" s="16">
        <v>26.4</v>
      </c>
      <c r="J352" s="16">
        <v>17</v>
      </c>
      <c r="K352" s="6">
        <f t="shared" si="10"/>
        <v>9.3999999999999986</v>
      </c>
      <c r="L352" s="4" t="str">
        <f t="shared" si="11"/>
        <v>Normal</v>
      </c>
    </row>
    <row r="353" spans="1:12" ht="18" customHeight="1" x14ac:dyDescent="0.3">
      <c r="A353" s="1">
        <v>23034</v>
      </c>
      <c r="B353" s="1" t="str">
        <f>VLOOKUP( WeatherData[[#This Row],[Station Number]], 'Station Numbers'!A:B,2,FALSE)</f>
        <v xml:space="preserve">Adelaide Airport </v>
      </c>
      <c r="C353" s="1">
        <v>2020</v>
      </c>
      <c r="D353" s="1">
        <v>12</v>
      </c>
      <c r="E353" s="1">
        <v>17</v>
      </c>
      <c r="F353" s="2">
        <f>DATE(WeatherData[[#This Row],[Year]],WeatherData[[#This Row],[Month]],WeatherData[[#This Row],[Day]])</f>
        <v>44182</v>
      </c>
      <c r="G353" s="2" t="str">
        <f>TEXT(WeatherData[[#This Row],[Date]], "mmmm")</f>
        <v>December</v>
      </c>
      <c r="H353" s="16">
        <v>0</v>
      </c>
      <c r="I353" s="16">
        <v>20.8</v>
      </c>
      <c r="J353" s="16">
        <v>16.2</v>
      </c>
      <c r="K353" s="6">
        <f t="shared" si="10"/>
        <v>4.6000000000000014</v>
      </c>
      <c r="L353" s="4" t="str">
        <f t="shared" si="11"/>
        <v>Normal</v>
      </c>
    </row>
    <row r="354" spans="1:12" ht="18" customHeight="1" x14ac:dyDescent="0.3">
      <c r="A354" s="1">
        <v>23034</v>
      </c>
      <c r="B354" s="1" t="str">
        <f>VLOOKUP( WeatherData[[#This Row],[Station Number]], 'Station Numbers'!A:B,2,FALSE)</f>
        <v xml:space="preserve">Adelaide Airport </v>
      </c>
      <c r="C354" s="1">
        <v>2020</v>
      </c>
      <c r="D354" s="1">
        <v>12</v>
      </c>
      <c r="E354" s="1">
        <v>18</v>
      </c>
      <c r="F354" s="2">
        <f>DATE(WeatherData[[#This Row],[Year]],WeatherData[[#This Row],[Month]],WeatherData[[#This Row],[Day]])</f>
        <v>44183</v>
      </c>
      <c r="G354" s="2" t="str">
        <f>TEXT(WeatherData[[#This Row],[Date]], "mmmm")</f>
        <v>December</v>
      </c>
      <c r="H354" s="16">
        <v>0</v>
      </c>
      <c r="I354" s="16">
        <v>20.8</v>
      </c>
      <c r="J354" s="16">
        <v>12.9</v>
      </c>
      <c r="K354" s="6">
        <f t="shared" si="10"/>
        <v>7.9</v>
      </c>
      <c r="L354" s="4" t="str">
        <f t="shared" si="11"/>
        <v>Normal</v>
      </c>
    </row>
    <row r="355" spans="1:12" ht="18" customHeight="1" x14ac:dyDescent="0.3">
      <c r="A355" s="1">
        <v>23034</v>
      </c>
      <c r="B355" s="1" t="str">
        <f>VLOOKUP( WeatherData[[#This Row],[Station Number]], 'Station Numbers'!A:B,2,FALSE)</f>
        <v xml:space="preserve">Adelaide Airport </v>
      </c>
      <c r="C355" s="1">
        <v>2020</v>
      </c>
      <c r="D355" s="1">
        <v>12</v>
      </c>
      <c r="E355" s="1">
        <v>19</v>
      </c>
      <c r="F355" s="2">
        <f>DATE(WeatherData[[#This Row],[Year]],WeatherData[[#This Row],[Month]],WeatherData[[#This Row],[Day]])</f>
        <v>44184</v>
      </c>
      <c r="G355" s="2" t="str">
        <f>TEXT(WeatherData[[#This Row],[Date]], "mmmm")</f>
        <v>December</v>
      </c>
      <c r="H355" s="16">
        <v>0</v>
      </c>
      <c r="I355" s="16">
        <v>23.8</v>
      </c>
      <c r="J355" s="16">
        <v>11</v>
      </c>
      <c r="K355" s="6">
        <f t="shared" si="10"/>
        <v>12.8</v>
      </c>
      <c r="L355" s="4" t="str">
        <f t="shared" si="11"/>
        <v>Normal</v>
      </c>
    </row>
    <row r="356" spans="1:12" ht="18" customHeight="1" x14ac:dyDescent="0.3">
      <c r="A356" s="1">
        <v>23034</v>
      </c>
      <c r="B356" s="1" t="str">
        <f>VLOOKUP( WeatherData[[#This Row],[Station Number]], 'Station Numbers'!A:B,2,FALSE)</f>
        <v xml:space="preserve">Adelaide Airport </v>
      </c>
      <c r="C356" s="1">
        <v>2020</v>
      </c>
      <c r="D356" s="1">
        <v>12</v>
      </c>
      <c r="E356" s="1">
        <v>20</v>
      </c>
      <c r="F356" s="2">
        <f>DATE(WeatherData[[#This Row],[Year]],WeatherData[[#This Row],[Month]],WeatherData[[#This Row],[Day]])</f>
        <v>44185</v>
      </c>
      <c r="G356" s="2" t="str">
        <f>TEXT(WeatherData[[#This Row],[Date]], "mmmm")</f>
        <v>December</v>
      </c>
      <c r="H356" s="16">
        <v>0</v>
      </c>
      <c r="I356" s="16">
        <v>24.8</v>
      </c>
      <c r="J356" s="16">
        <v>11.5</v>
      </c>
      <c r="K356" s="6">
        <f t="shared" si="10"/>
        <v>13.3</v>
      </c>
      <c r="L356" s="4" t="str">
        <f t="shared" si="11"/>
        <v>Normal</v>
      </c>
    </row>
    <row r="357" spans="1:12" ht="18" customHeight="1" x14ac:dyDescent="0.3">
      <c r="A357" s="1">
        <v>23034</v>
      </c>
      <c r="B357" s="1" t="str">
        <f>VLOOKUP( WeatherData[[#This Row],[Station Number]], 'Station Numbers'!A:B,2,FALSE)</f>
        <v xml:space="preserve">Adelaide Airport </v>
      </c>
      <c r="C357" s="1">
        <v>2020</v>
      </c>
      <c r="D357" s="1">
        <v>12</v>
      </c>
      <c r="E357" s="1">
        <v>21</v>
      </c>
      <c r="F357" s="2">
        <f>DATE(WeatherData[[#This Row],[Year]],WeatherData[[#This Row],[Month]],WeatherData[[#This Row],[Day]])</f>
        <v>44186</v>
      </c>
      <c r="G357" s="2" t="str">
        <f>TEXT(WeatherData[[#This Row],[Date]], "mmmm")</f>
        <v>December</v>
      </c>
      <c r="H357" s="16">
        <v>1.2</v>
      </c>
      <c r="I357" s="16">
        <v>20.9</v>
      </c>
      <c r="J357" s="16">
        <v>16.7</v>
      </c>
      <c r="K357" s="6">
        <f t="shared" si="10"/>
        <v>4.1999999999999993</v>
      </c>
      <c r="L357" s="4" t="str">
        <f t="shared" si="11"/>
        <v>Normal</v>
      </c>
    </row>
    <row r="358" spans="1:12" ht="18" customHeight="1" x14ac:dyDescent="0.3">
      <c r="A358" s="1">
        <v>23034</v>
      </c>
      <c r="B358" s="1" t="str">
        <f>VLOOKUP( WeatherData[[#This Row],[Station Number]], 'Station Numbers'!A:B,2,FALSE)</f>
        <v xml:space="preserve">Adelaide Airport </v>
      </c>
      <c r="C358" s="1">
        <v>2020</v>
      </c>
      <c r="D358" s="1">
        <v>12</v>
      </c>
      <c r="E358" s="1">
        <v>22</v>
      </c>
      <c r="F358" s="2">
        <f>DATE(WeatherData[[#This Row],[Year]],WeatherData[[#This Row],[Month]],WeatherData[[#This Row],[Day]])</f>
        <v>44187</v>
      </c>
      <c r="G358" s="2" t="str">
        <f>TEXT(WeatherData[[#This Row],[Date]], "mmmm")</f>
        <v>December</v>
      </c>
      <c r="H358" s="16">
        <v>6</v>
      </c>
      <c r="I358" s="16">
        <v>21.7</v>
      </c>
      <c r="J358" s="16">
        <v>12.5</v>
      </c>
      <c r="K358" s="6">
        <f t="shared" si="10"/>
        <v>9.1999999999999993</v>
      </c>
      <c r="L358" s="4" t="str">
        <f t="shared" si="11"/>
        <v>Normal</v>
      </c>
    </row>
    <row r="359" spans="1:12" ht="18" customHeight="1" x14ac:dyDescent="0.3">
      <c r="A359" s="1">
        <v>23034</v>
      </c>
      <c r="B359" s="1" t="str">
        <f>VLOOKUP( WeatherData[[#This Row],[Station Number]], 'Station Numbers'!A:B,2,FALSE)</f>
        <v xml:space="preserve">Adelaide Airport </v>
      </c>
      <c r="C359" s="1">
        <v>2020</v>
      </c>
      <c r="D359" s="1">
        <v>12</v>
      </c>
      <c r="E359" s="1">
        <v>23</v>
      </c>
      <c r="F359" s="2">
        <f>DATE(WeatherData[[#This Row],[Year]],WeatherData[[#This Row],[Month]],WeatherData[[#This Row],[Day]])</f>
        <v>44188</v>
      </c>
      <c r="G359" s="2" t="str">
        <f>TEXT(WeatherData[[#This Row],[Date]], "mmmm")</f>
        <v>December</v>
      </c>
      <c r="H359" s="16">
        <v>0</v>
      </c>
      <c r="I359" s="16">
        <v>22</v>
      </c>
      <c r="J359" s="16">
        <v>12.7</v>
      </c>
      <c r="K359" s="6">
        <f t="shared" si="10"/>
        <v>9.3000000000000007</v>
      </c>
      <c r="L359" s="4" t="str">
        <f t="shared" si="11"/>
        <v>Normal</v>
      </c>
    </row>
    <row r="360" spans="1:12" ht="18" customHeight="1" x14ac:dyDescent="0.3">
      <c r="A360" s="1">
        <v>23034</v>
      </c>
      <c r="B360" s="1" t="str">
        <f>VLOOKUP( WeatherData[[#This Row],[Station Number]], 'Station Numbers'!A:B,2,FALSE)</f>
        <v xml:space="preserve">Adelaide Airport </v>
      </c>
      <c r="C360" s="1">
        <v>2020</v>
      </c>
      <c r="D360" s="1">
        <v>12</v>
      </c>
      <c r="E360" s="1">
        <v>24</v>
      </c>
      <c r="F360" s="2">
        <f>DATE(WeatherData[[#This Row],[Year]],WeatherData[[#This Row],[Month]],WeatherData[[#This Row],[Day]])</f>
        <v>44189</v>
      </c>
      <c r="G360" s="2" t="str">
        <f>TEXT(WeatherData[[#This Row],[Date]], "mmmm")</f>
        <v>December</v>
      </c>
      <c r="H360" s="16">
        <v>0</v>
      </c>
      <c r="I360" s="16">
        <v>26.5</v>
      </c>
      <c r="J360" s="16">
        <v>12.3</v>
      </c>
      <c r="K360" s="6">
        <f t="shared" si="10"/>
        <v>14.2</v>
      </c>
      <c r="L360" s="4" t="str">
        <f t="shared" si="11"/>
        <v>Normal</v>
      </c>
    </row>
    <row r="361" spans="1:12" ht="18" customHeight="1" x14ac:dyDescent="0.3">
      <c r="A361" s="1">
        <v>23034</v>
      </c>
      <c r="B361" s="1" t="str">
        <f>VLOOKUP( WeatherData[[#This Row],[Station Number]], 'Station Numbers'!A:B,2,FALSE)</f>
        <v xml:space="preserve">Adelaide Airport </v>
      </c>
      <c r="C361" s="1">
        <v>2020</v>
      </c>
      <c r="D361" s="1">
        <v>12</v>
      </c>
      <c r="E361" s="1">
        <v>25</v>
      </c>
      <c r="F361" s="2">
        <f>DATE(WeatherData[[#This Row],[Year]],WeatherData[[#This Row],[Month]],WeatherData[[#This Row],[Day]])</f>
        <v>44190</v>
      </c>
      <c r="G361" s="2" t="str">
        <f>TEXT(WeatherData[[#This Row],[Date]], "mmmm")</f>
        <v>December</v>
      </c>
      <c r="H361" s="16">
        <v>0</v>
      </c>
      <c r="I361" s="16">
        <v>25.8</v>
      </c>
      <c r="J361" s="16">
        <v>12.9</v>
      </c>
      <c r="K361" s="6">
        <f t="shared" si="10"/>
        <v>12.9</v>
      </c>
      <c r="L361" s="4" t="str">
        <f t="shared" si="11"/>
        <v>Normal</v>
      </c>
    </row>
    <row r="362" spans="1:12" ht="18" customHeight="1" x14ac:dyDescent="0.3">
      <c r="A362" s="1">
        <v>23034</v>
      </c>
      <c r="B362" s="1" t="str">
        <f>VLOOKUP( WeatherData[[#This Row],[Station Number]], 'Station Numbers'!A:B,2,FALSE)</f>
        <v xml:space="preserve">Adelaide Airport </v>
      </c>
      <c r="C362" s="1">
        <v>2020</v>
      </c>
      <c r="D362" s="1">
        <v>12</v>
      </c>
      <c r="E362" s="1">
        <v>26</v>
      </c>
      <c r="F362" s="2">
        <f>DATE(WeatherData[[#This Row],[Year]],WeatherData[[#This Row],[Month]],WeatherData[[#This Row],[Day]])</f>
        <v>44191</v>
      </c>
      <c r="G362" s="2" t="str">
        <f>TEXT(WeatherData[[#This Row],[Date]], "mmmm")</f>
        <v>December</v>
      </c>
      <c r="H362" s="16">
        <v>0</v>
      </c>
      <c r="I362" s="16">
        <v>33.9</v>
      </c>
      <c r="J362" s="16">
        <v>13.4</v>
      </c>
      <c r="K362" s="6">
        <f t="shared" si="10"/>
        <v>20.5</v>
      </c>
      <c r="L362" s="4" t="str">
        <f t="shared" si="11"/>
        <v>Normal</v>
      </c>
    </row>
    <row r="363" spans="1:12" ht="18" customHeight="1" x14ac:dyDescent="0.3">
      <c r="A363" s="1">
        <v>23034</v>
      </c>
      <c r="B363" s="1" t="str">
        <f>VLOOKUP( WeatherData[[#This Row],[Station Number]], 'Station Numbers'!A:B,2,FALSE)</f>
        <v xml:space="preserve">Adelaide Airport </v>
      </c>
      <c r="C363" s="1">
        <v>2020</v>
      </c>
      <c r="D363" s="1">
        <v>12</v>
      </c>
      <c r="E363" s="1">
        <v>27</v>
      </c>
      <c r="F363" s="2">
        <f>DATE(WeatherData[[#This Row],[Year]],WeatherData[[#This Row],[Month]],WeatherData[[#This Row],[Day]])</f>
        <v>44192</v>
      </c>
      <c r="G363" s="2" t="str">
        <f>TEXT(WeatherData[[#This Row],[Date]], "mmmm")</f>
        <v>December</v>
      </c>
      <c r="H363" s="16">
        <v>0</v>
      </c>
      <c r="I363" s="16">
        <v>24.5</v>
      </c>
      <c r="J363" s="16">
        <v>21.5</v>
      </c>
      <c r="K363" s="6">
        <f t="shared" si="10"/>
        <v>3</v>
      </c>
      <c r="L363" s="4" t="str">
        <f t="shared" si="11"/>
        <v>Normal</v>
      </c>
    </row>
    <row r="364" spans="1:12" ht="18" customHeight="1" x14ac:dyDescent="0.3">
      <c r="A364" s="1">
        <v>23034</v>
      </c>
      <c r="B364" s="1" t="str">
        <f>VLOOKUP( WeatherData[[#This Row],[Station Number]], 'Station Numbers'!A:B,2,FALSE)</f>
        <v xml:space="preserve">Adelaide Airport </v>
      </c>
      <c r="C364" s="1">
        <v>2020</v>
      </c>
      <c r="D364" s="1">
        <v>12</v>
      </c>
      <c r="E364" s="1">
        <v>28</v>
      </c>
      <c r="F364" s="2">
        <f>DATE(WeatherData[[#This Row],[Year]],WeatherData[[#This Row],[Month]],WeatherData[[#This Row],[Day]])</f>
        <v>44193</v>
      </c>
      <c r="G364" s="2" t="str">
        <f>TEXT(WeatherData[[#This Row],[Date]], "mmmm")</f>
        <v>December</v>
      </c>
      <c r="H364" s="16">
        <v>0</v>
      </c>
      <c r="I364" s="16">
        <v>20.8</v>
      </c>
      <c r="J364" s="16">
        <v>9.4</v>
      </c>
      <c r="K364" s="6">
        <f t="shared" si="10"/>
        <v>11.4</v>
      </c>
      <c r="L364" s="4" t="str">
        <f t="shared" si="11"/>
        <v>Normal</v>
      </c>
    </row>
    <row r="365" spans="1:12" ht="18" customHeight="1" x14ac:dyDescent="0.3">
      <c r="A365" s="1">
        <v>23034</v>
      </c>
      <c r="B365" s="1" t="str">
        <f>VLOOKUP( WeatherData[[#This Row],[Station Number]], 'Station Numbers'!A:B,2,FALSE)</f>
        <v xml:space="preserve">Adelaide Airport </v>
      </c>
      <c r="C365" s="1">
        <v>2020</v>
      </c>
      <c r="D365" s="1">
        <v>12</v>
      </c>
      <c r="E365" s="1">
        <v>29</v>
      </c>
      <c r="F365" s="2">
        <f>DATE(WeatherData[[#This Row],[Year]],WeatherData[[#This Row],[Month]],WeatherData[[#This Row],[Day]])</f>
        <v>44194</v>
      </c>
      <c r="G365" s="2" t="str">
        <f>TEXT(WeatherData[[#This Row],[Date]], "mmmm")</f>
        <v>December</v>
      </c>
      <c r="H365" s="16">
        <v>0</v>
      </c>
      <c r="I365" s="16">
        <v>21.8</v>
      </c>
      <c r="J365" s="16">
        <v>11.2</v>
      </c>
      <c r="K365" s="6">
        <f t="shared" si="10"/>
        <v>10.600000000000001</v>
      </c>
      <c r="L365" s="4" t="str">
        <f t="shared" si="11"/>
        <v>Normal</v>
      </c>
    </row>
    <row r="366" spans="1:12" ht="18" customHeight="1" x14ac:dyDescent="0.3">
      <c r="A366" s="1">
        <v>23034</v>
      </c>
      <c r="B366" s="1" t="str">
        <f>VLOOKUP( WeatherData[[#This Row],[Station Number]], 'Station Numbers'!A:B,2,FALSE)</f>
        <v xml:space="preserve">Adelaide Airport </v>
      </c>
      <c r="C366" s="1">
        <v>2020</v>
      </c>
      <c r="D366" s="1">
        <v>12</v>
      </c>
      <c r="E366" s="1">
        <v>30</v>
      </c>
      <c r="F366" s="2">
        <f>DATE(WeatherData[[#This Row],[Year]],WeatherData[[#This Row],[Month]],WeatherData[[#This Row],[Day]])</f>
        <v>44195</v>
      </c>
      <c r="G366" s="2" t="str">
        <f>TEXT(WeatherData[[#This Row],[Date]], "mmmm")</f>
        <v>December</v>
      </c>
      <c r="H366" s="16">
        <v>0</v>
      </c>
      <c r="I366" s="16">
        <v>28.3</v>
      </c>
      <c r="J366" s="16">
        <v>14.2</v>
      </c>
      <c r="K366" s="6">
        <f t="shared" si="10"/>
        <v>14.100000000000001</v>
      </c>
      <c r="L366" s="4" t="str">
        <f t="shared" si="11"/>
        <v>Normal</v>
      </c>
    </row>
    <row r="367" spans="1:12" ht="18" customHeight="1" x14ac:dyDescent="0.3">
      <c r="A367" s="1">
        <v>23034</v>
      </c>
      <c r="B367" s="1" t="str">
        <f>VLOOKUP( WeatherData[[#This Row],[Station Number]], 'Station Numbers'!A:B,2,FALSE)</f>
        <v xml:space="preserve">Adelaide Airport </v>
      </c>
      <c r="C367" s="1">
        <v>2020</v>
      </c>
      <c r="D367" s="1">
        <v>12</v>
      </c>
      <c r="E367" s="1">
        <v>31</v>
      </c>
      <c r="F367" s="2">
        <f>DATE(WeatherData[[#This Row],[Year]],WeatherData[[#This Row],[Month]],WeatherData[[#This Row],[Day]])</f>
        <v>44196</v>
      </c>
      <c r="G367" s="2" t="str">
        <f>TEXT(WeatherData[[#This Row],[Date]], "mmmm")</f>
        <v>December</v>
      </c>
      <c r="H367" s="16">
        <v>0</v>
      </c>
      <c r="I367" s="16">
        <v>29.7</v>
      </c>
      <c r="J367" s="16">
        <v>16.2</v>
      </c>
      <c r="K367" s="6">
        <f t="shared" si="10"/>
        <v>13.5</v>
      </c>
      <c r="L367" s="4" t="str">
        <f t="shared" si="11"/>
        <v>Normal</v>
      </c>
    </row>
    <row r="368" spans="1:12" ht="18" customHeight="1" x14ac:dyDescent="0.3">
      <c r="A368" s="1">
        <v>86338</v>
      </c>
      <c r="B368" s="1" t="str">
        <f>VLOOKUP( WeatherData[[#This Row],[Station Number]], 'Station Numbers'!A:B,2,FALSE)</f>
        <v xml:space="preserve">Melbourne (Olympic Park) </v>
      </c>
      <c r="C368" s="1">
        <v>2020</v>
      </c>
      <c r="D368" s="1">
        <v>1</v>
      </c>
      <c r="E368" s="1">
        <v>1</v>
      </c>
      <c r="F368" s="2">
        <f>DATE(WeatherData[[#This Row],[Year]],WeatherData[[#This Row],[Month]],WeatherData[[#This Row],[Day]])</f>
        <v>43831</v>
      </c>
      <c r="G368" s="2" t="str">
        <f>TEXT(WeatherData[[#This Row],[Date]], "mmmm")</f>
        <v>January</v>
      </c>
      <c r="H368" s="16">
        <v>0</v>
      </c>
      <c r="I368" s="16">
        <v>24.9</v>
      </c>
      <c r="J368" s="16">
        <v>11.8</v>
      </c>
      <c r="K368" s="6">
        <f t="shared" si="10"/>
        <v>13.099999999999998</v>
      </c>
      <c r="L368" s="4" t="str">
        <f t="shared" si="11"/>
        <v>Normal</v>
      </c>
    </row>
    <row r="369" spans="1:12" ht="18" customHeight="1" x14ac:dyDescent="0.3">
      <c r="A369" s="1">
        <v>86338</v>
      </c>
      <c r="B369" s="1" t="str">
        <f>VLOOKUP( WeatherData[[#This Row],[Station Number]], 'Station Numbers'!A:B,2,FALSE)</f>
        <v xml:space="preserve">Melbourne (Olympic Park) </v>
      </c>
      <c r="C369" s="1">
        <v>2020</v>
      </c>
      <c r="D369" s="1">
        <v>1</v>
      </c>
      <c r="E369" s="1">
        <v>2</v>
      </c>
      <c r="F369" s="2">
        <f>DATE(WeatherData[[#This Row],[Year]],WeatherData[[#This Row],[Month]],WeatherData[[#This Row],[Day]])</f>
        <v>43832</v>
      </c>
      <c r="G369" s="2" t="str">
        <f>TEXT(WeatherData[[#This Row],[Date]], "mmmm")</f>
        <v>January</v>
      </c>
      <c r="H369" s="16">
        <v>0</v>
      </c>
      <c r="I369" s="16">
        <v>25</v>
      </c>
      <c r="J369" s="16">
        <v>12.8</v>
      </c>
      <c r="K369" s="6">
        <f t="shared" si="10"/>
        <v>12.2</v>
      </c>
      <c r="L369" s="4" t="str">
        <f t="shared" si="11"/>
        <v>Normal</v>
      </c>
    </row>
    <row r="370" spans="1:12" ht="18" customHeight="1" x14ac:dyDescent="0.3">
      <c r="A370" s="1">
        <v>86338</v>
      </c>
      <c r="B370" s="1" t="str">
        <f>VLOOKUP( WeatherData[[#This Row],[Station Number]], 'Station Numbers'!A:B,2,FALSE)</f>
        <v xml:space="preserve">Melbourne (Olympic Park) </v>
      </c>
      <c r="C370" s="1">
        <v>2020</v>
      </c>
      <c r="D370" s="1">
        <v>1</v>
      </c>
      <c r="E370" s="1">
        <v>3</v>
      </c>
      <c r="F370" s="2">
        <f>DATE(WeatherData[[#This Row],[Year]],WeatherData[[#This Row],[Month]],WeatherData[[#This Row],[Day]])</f>
        <v>43833</v>
      </c>
      <c r="G370" s="2" t="str">
        <f>TEXT(WeatherData[[#This Row],[Date]], "mmmm")</f>
        <v>January</v>
      </c>
      <c r="H370" s="16">
        <v>0</v>
      </c>
      <c r="I370" s="16">
        <v>36.6</v>
      </c>
      <c r="J370" s="16">
        <v>13.7</v>
      </c>
      <c r="K370" s="6">
        <f t="shared" si="10"/>
        <v>22.900000000000002</v>
      </c>
      <c r="L370" s="4" t="str">
        <f t="shared" si="11"/>
        <v>Heatwave</v>
      </c>
    </row>
    <row r="371" spans="1:12" ht="18" customHeight="1" x14ac:dyDescent="0.3">
      <c r="A371" s="1">
        <v>86338</v>
      </c>
      <c r="B371" s="1" t="str">
        <f>VLOOKUP( WeatherData[[#This Row],[Station Number]], 'Station Numbers'!A:B,2,FALSE)</f>
        <v xml:space="preserve">Melbourne (Olympic Park) </v>
      </c>
      <c r="C371" s="1">
        <v>2020</v>
      </c>
      <c r="D371" s="1">
        <v>1</v>
      </c>
      <c r="E371" s="1">
        <v>4</v>
      </c>
      <c r="F371" s="2">
        <f>DATE(WeatherData[[#This Row],[Year]],WeatherData[[#This Row],[Month]],WeatherData[[#This Row],[Day]])</f>
        <v>43834</v>
      </c>
      <c r="G371" s="2" t="str">
        <f>TEXT(WeatherData[[#This Row],[Date]], "mmmm")</f>
        <v>January</v>
      </c>
      <c r="H371" s="16">
        <v>0</v>
      </c>
      <c r="I371" s="16">
        <v>26.8</v>
      </c>
      <c r="J371" s="16">
        <v>18.600000000000001</v>
      </c>
      <c r="K371" s="6">
        <f t="shared" si="10"/>
        <v>8.1999999999999993</v>
      </c>
      <c r="L371" s="4" t="str">
        <f t="shared" si="11"/>
        <v>Normal</v>
      </c>
    </row>
    <row r="372" spans="1:12" ht="18" customHeight="1" x14ac:dyDescent="0.3">
      <c r="A372" s="1">
        <v>86338</v>
      </c>
      <c r="B372" s="1" t="str">
        <f>VLOOKUP( WeatherData[[#This Row],[Station Number]], 'Station Numbers'!A:B,2,FALSE)</f>
        <v xml:space="preserve">Melbourne (Olympic Park) </v>
      </c>
      <c r="C372" s="1">
        <v>2020</v>
      </c>
      <c r="D372" s="1">
        <v>1</v>
      </c>
      <c r="E372" s="1">
        <v>5</v>
      </c>
      <c r="F372" s="2">
        <f>DATE(WeatherData[[#This Row],[Year]],WeatherData[[#This Row],[Month]],WeatherData[[#This Row],[Day]])</f>
        <v>43835</v>
      </c>
      <c r="G372" s="2" t="str">
        <f>TEXT(WeatherData[[#This Row],[Date]], "mmmm")</f>
        <v>January</v>
      </c>
      <c r="H372" s="16">
        <v>2.2000000000000002</v>
      </c>
      <c r="I372" s="16">
        <v>16.7</v>
      </c>
      <c r="J372" s="16">
        <v>12.7</v>
      </c>
      <c r="K372" s="6">
        <f t="shared" si="10"/>
        <v>4</v>
      </c>
      <c r="L372" s="4" t="str">
        <f t="shared" si="11"/>
        <v>Normal</v>
      </c>
    </row>
    <row r="373" spans="1:12" ht="18" customHeight="1" x14ac:dyDescent="0.3">
      <c r="A373" s="1">
        <v>86338</v>
      </c>
      <c r="B373" s="1" t="str">
        <f>VLOOKUP( WeatherData[[#This Row],[Station Number]], 'Station Numbers'!A:B,2,FALSE)</f>
        <v xml:space="preserve">Melbourne (Olympic Park) </v>
      </c>
      <c r="C373" s="1">
        <v>2020</v>
      </c>
      <c r="D373" s="1">
        <v>1</v>
      </c>
      <c r="E373" s="1">
        <v>6</v>
      </c>
      <c r="F373" s="2">
        <f>DATE(WeatherData[[#This Row],[Year]],WeatherData[[#This Row],[Month]],WeatherData[[#This Row],[Day]])</f>
        <v>43836</v>
      </c>
      <c r="G373" s="2" t="str">
        <f>TEXT(WeatherData[[#This Row],[Date]], "mmmm")</f>
        <v>January</v>
      </c>
      <c r="H373" s="16">
        <v>8.1999999999999993</v>
      </c>
      <c r="I373" s="16">
        <v>18</v>
      </c>
      <c r="J373" s="16">
        <v>11.9</v>
      </c>
      <c r="K373" s="6">
        <f t="shared" si="10"/>
        <v>6.1</v>
      </c>
      <c r="L373" s="4" t="str">
        <f t="shared" si="11"/>
        <v>Normal</v>
      </c>
    </row>
    <row r="374" spans="1:12" ht="18" customHeight="1" x14ac:dyDescent="0.3">
      <c r="A374" s="1">
        <v>86338</v>
      </c>
      <c r="B374" s="1" t="str">
        <f>VLOOKUP( WeatherData[[#This Row],[Station Number]], 'Station Numbers'!A:B,2,FALSE)</f>
        <v xml:space="preserve">Melbourne (Olympic Park) </v>
      </c>
      <c r="C374" s="1">
        <v>2020</v>
      </c>
      <c r="D374" s="1">
        <v>1</v>
      </c>
      <c r="E374" s="1">
        <v>7</v>
      </c>
      <c r="F374" s="2">
        <f>DATE(WeatherData[[#This Row],[Year]],WeatherData[[#This Row],[Month]],WeatherData[[#This Row],[Day]])</f>
        <v>43837</v>
      </c>
      <c r="G374" s="2" t="str">
        <f>TEXT(WeatherData[[#This Row],[Date]], "mmmm")</f>
        <v>January</v>
      </c>
      <c r="H374" s="16">
        <v>1.2</v>
      </c>
      <c r="I374" s="16">
        <v>20.100000000000001</v>
      </c>
      <c r="J374" s="16">
        <v>12.6</v>
      </c>
      <c r="K374" s="6">
        <f t="shared" si="10"/>
        <v>7.5000000000000018</v>
      </c>
      <c r="L374" s="4" t="str">
        <f t="shared" si="11"/>
        <v>Normal</v>
      </c>
    </row>
    <row r="375" spans="1:12" ht="18" customHeight="1" x14ac:dyDescent="0.3">
      <c r="A375" s="1">
        <v>86338</v>
      </c>
      <c r="B375" s="1" t="str">
        <f>VLOOKUP( WeatherData[[#This Row],[Station Number]], 'Station Numbers'!A:B,2,FALSE)</f>
        <v xml:space="preserve">Melbourne (Olympic Park) </v>
      </c>
      <c r="C375" s="1">
        <v>2020</v>
      </c>
      <c r="D375" s="1">
        <v>1</v>
      </c>
      <c r="E375" s="1">
        <v>8</v>
      </c>
      <c r="F375" s="2">
        <f>DATE(WeatherData[[#This Row],[Year]],WeatherData[[#This Row],[Month]],WeatherData[[#This Row],[Day]])</f>
        <v>43838</v>
      </c>
      <c r="G375" s="2" t="str">
        <f>TEXT(WeatherData[[#This Row],[Date]], "mmmm")</f>
        <v>January</v>
      </c>
      <c r="H375" s="16">
        <v>0</v>
      </c>
      <c r="I375" s="16">
        <v>23.8</v>
      </c>
      <c r="J375" s="16">
        <v>16.8</v>
      </c>
      <c r="K375" s="6">
        <f t="shared" si="10"/>
        <v>7</v>
      </c>
      <c r="L375" s="4" t="str">
        <f t="shared" si="11"/>
        <v>Normal</v>
      </c>
    </row>
    <row r="376" spans="1:12" ht="18" customHeight="1" x14ac:dyDescent="0.3">
      <c r="A376" s="1">
        <v>86338</v>
      </c>
      <c r="B376" s="1" t="str">
        <f>VLOOKUP( WeatherData[[#This Row],[Station Number]], 'Station Numbers'!A:B,2,FALSE)</f>
        <v xml:space="preserve">Melbourne (Olympic Park) </v>
      </c>
      <c r="C376" s="1">
        <v>2020</v>
      </c>
      <c r="D376" s="1">
        <v>1</v>
      </c>
      <c r="E376" s="1">
        <v>9</v>
      </c>
      <c r="F376" s="2">
        <f>DATE(WeatherData[[#This Row],[Year]],WeatherData[[#This Row],[Month]],WeatherData[[#This Row],[Day]])</f>
        <v>43839</v>
      </c>
      <c r="G376" s="2" t="str">
        <f>TEXT(WeatherData[[#This Row],[Date]], "mmmm")</f>
        <v>January</v>
      </c>
      <c r="H376" s="16">
        <v>0</v>
      </c>
      <c r="I376" s="16">
        <v>31.9</v>
      </c>
      <c r="J376" s="16">
        <v>17.899999999999999</v>
      </c>
      <c r="K376" s="6">
        <f t="shared" si="10"/>
        <v>14</v>
      </c>
      <c r="L376" s="4" t="str">
        <f t="shared" si="11"/>
        <v>Normal</v>
      </c>
    </row>
    <row r="377" spans="1:12" ht="18" customHeight="1" x14ac:dyDescent="0.3">
      <c r="A377" s="1">
        <v>86338</v>
      </c>
      <c r="B377" s="1" t="str">
        <f>VLOOKUP( WeatherData[[#This Row],[Station Number]], 'Station Numbers'!A:B,2,FALSE)</f>
        <v xml:space="preserve">Melbourne (Olympic Park) </v>
      </c>
      <c r="C377" s="1">
        <v>2020</v>
      </c>
      <c r="D377" s="1">
        <v>1</v>
      </c>
      <c r="E377" s="1">
        <v>10</v>
      </c>
      <c r="F377" s="2">
        <f>DATE(WeatherData[[#This Row],[Year]],WeatherData[[#This Row],[Month]],WeatherData[[#This Row],[Day]])</f>
        <v>43840</v>
      </c>
      <c r="G377" s="2" t="str">
        <f>TEXT(WeatherData[[#This Row],[Date]], "mmmm")</f>
        <v>January</v>
      </c>
      <c r="H377" s="16">
        <v>0</v>
      </c>
      <c r="I377" s="16">
        <v>32.9</v>
      </c>
      <c r="J377" s="16">
        <v>20.100000000000001</v>
      </c>
      <c r="K377" s="6">
        <f t="shared" si="10"/>
        <v>12.799999999999997</v>
      </c>
      <c r="L377" s="4" t="str">
        <f t="shared" si="11"/>
        <v>Normal</v>
      </c>
    </row>
    <row r="378" spans="1:12" ht="18" customHeight="1" x14ac:dyDescent="0.3">
      <c r="A378" s="1">
        <v>86338</v>
      </c>
      <c r="B378" s="1" t="str">
        <f>VLOOKUP( WeatherData[[#This Row],[Station Number]], 'Station Numbers'!A:B,2,FALSE)</f>
        <v xml:space="preserve">Melbourne (Olympic Park) </v>
      </c>
      <c r="C378" s="1">
        <v>2020</v>
      </c>
      <c r="D378" s="1">
        <v>1</v>
      </c>
      <c r="E378" s="1">
        <v>11</v>
      </c>
      <c r="F378" s="2">
        <f>DATE(WeatherData[[#This Row],[Year]],WeatherData[[#This Row],[Month]],WeatherData[[#This Row],[Day]])</f>
        <v>43841</v>
      </c>
      <c r="G378" s="2" t="str">
        <f>TEXT(WeatherData[[#This Row],[Date]], "mmmm")</f>
        <v>January</v>
      </c>
      <c r="H378" s="16">
        <v>15.6</v>
      </c>
      <c r="I378" s="16">
        <v>19.3</v>
      </c>
      <c r="J378" s="16">
        <v>13.5</v>
      </c>
      <c r="K378" s="6">
        <f t="shared" si="10"/>
        <v>5.8000000000000007</v>
      </c>
      <c r="L378" s="4" t="str">
        <f t="shared" si="11"/>
        <v>Normal</v>
      </c>
    </row>
    <row r="379" spans="1:12" ht="18" customHeight="1" x14ac:dyDescent="0.3">
      <c r="A379" s="1">
        <v>86338</v>
      </c>
      <c r="B379" s="1" t="str">
        <f>VLOOKUP( WeatherData[[#This Row],[Station Number]], 'Station Numbers'!A:B,2,FALSE)</f>
        <v xml:space="preserve">Melbourne (Olympic Park) </v>
      </c>
      <c r="C379" s="1">
        <v>2020</v>
      </c>
      <c r="D379" s="1">
        <v>1</v>
      </c>
      <c r="E379" s="1">
        <v>12</v>
      </c>
      <c r="F379" s="2">
        <f>DATE(WeatherData[[#This Row],[Year]],WeatherData[[#This Row],[Month]],WeatherData[[#This Row],[Day]])</f>
        <v>43842</v>
      </c>
      <c r="G379" s="2" t="str">
        <f>TEXT(WeatherData[[#This Row],[Date]], "mmmm")</f>
        <v>January</v>
      </c>
      <c r="H379" s="16">
        <v>0</v>
      </c>
      <c r="I379" s="16">
        <v>19.899999999999999</v>
      </c>
      <c r="J379" s="16">
        <v>14.2</v>
      </c>
      <c r="K379" s="6">
        <f t="shared" si="10"/>
        <v>5.6999999999999993</v>
      </c>
      <c r="L379" s="4" t="str">
        <f t="shared" si="11"/>
        <v>Normal</v>
      </c>
    </row>
    <row r="380" spans="1:12" ht="18" customHeight="1" x14ac:dyDescent="0.3">
      <c r="A380" s="1">
        <v>86338</v>
      </c>
      <c r="B380" s="1" t="str">
        <f>VLOOKUP( WeatherData[[#This Row],[Station Number]], 'Station Numbers'!A:B,2,FALSE)</f>
        <v xml:space="preserve">Melbourne (Olympic Park) </v>
      </c>
      <c r="C380" s="1">
        <v>2020</v>
      </c>
      <c r="D380" s="1">
        <v>1</v>
      </c>
      <c r="E380" s="1">
        <v>13</v>
      </c>
      <c r="F380" s="2">
        <f>DATE(WeatherData[[#This Row],[Year]],WeatherData[[#This Row],[Month]],WeatherData[[#This Row],[Day]])</f>
        <v>43843</v>
      </c>
      <c r="G380" s="2" t="str">
        <f>TEXT(WeatherData[[#This Row],[Date]], "mmmm")</f>
        <v>January</v>
      </c>
      <c r="H380" s="16">
        <v>0</v>
      </c>
      <c r="I380" s="16">
        <v>32.200000000000003</v>
      </c>
      <c r="J380" s="16">
        <v>12.7</v>
      </c>
      <c r="K380" s="6">
        <f t="shared" si="10"/>
        <v>19.500000000000004</v>
      </c>
      <c r="L380" s="4" t="str">
        <f t="shared" si="11"/>
        <v>Normal</v>
      </c>
    </row>
    <row r="381" spans="1:12" ht="18" customHeight="1" x14ac:dyDescent="0.3">
      <c r="A381" s="1">
        <v>86338</v>
      </c>
      <c r="B381" s="1" t="str">
        <f>VLOOKUP( WeatherData[[#This Row],[Station Number]], 'Station Numbers'!A:B,2,FALSE)</f>
        <v xml:space="preserve">Melbourne (Olympic Park) </v>
      </c>
      <c r="C381" s="1">
        <v>2020</v>
      </c>
      <c r="D381" s="1">
        <v>1</v>
      </c>
      <c r="E381" s="1">
        <v>14</v>
      </c>
      <c r="F381" s="2">
        <f>DATE(WeatherData[[#This Row],[Year]],WeatherData[[#This Row],[Month]],WeatherData[[#This Row],[Day]])</f>
        <v>43844</v>
      </c>
      <c r="G381" s="2" t="str">
        <f>TEXT(WeatherData[[#This Row],[Date]], "mmmm")</f>
        <v>January</v>
      </c>
      <c r="H381" s="16">
        <v>0</v>
      </c>
      <c r="I381" s="16">
        <v>33.799999999999997</v>
      </c>
      <c r="J381" s="16">
        <v>16.7</v>
      </c>
      <c r="K381" s="6">
        <f t="shared" si="10"/>
        <v>17.099999999999998</v>
      </c>
      <c r="L381" s="4" t="str">
        <f t="shared" si="11"/>
        <v>Normal</v>
      </c>
    </row>
    <row r="382" spans="1:12" ht="18" customHeight="1" x14ac:dyDescent="0.3">
      <c r="A382" s="1">
        <v>86338</v>
      </c>
      <c r="B382" s="1" t="str">
        <f>VLOOKUP( WeatherData[[#This Row],[Station Number]], 'Station Numbers'!A:B,2,FALSE)</f>
        <v xml:space="preserve">Melbourne (Olympic Park) </v>
      </c>
      <c r="C382" s="1">
        <v>2020</v>
      </c>
      <c r="D382" s="1">
        <v>1</v>
      </c>
      <c r="E382" s="1">
        <v>15</v>
      </c>
      <c r="F382" s="2">
        <f>DATE(WeatherData[[#This Row],[Year]],WeatherData[[#This Row],[Month]],WeatherData[[#This Row],[Day]])</f>
        <v>43845</v>
      </c>
      <c r="G382" s="2" t="str">
        <f>TEXT(WeatherData[[#This Row],[Date]], "mmmm")</f>
        <v>January</v>
      </c>
      <c r="H382" s="16">
        <v>0</v>
      </c>
      <c r="I382" s="16">
        <v>36.799999999999997</v>
      </c>
      <c r="J382" s="16">
        <v>19.5</v>
      </c>
      <c r="K382" s="6">
        <f t="shared" si="10"/>
        <v>17.299999999999997</v>
      </c>
      <c r="L382" s="4" t="str">
        <f t="shared" si="11"/>
        <v>Heatwave</v>
      </c>
    </row>
    <row r="383" spans="1:12" ht="18" customHeight="1" x14ac:dyDescent="0.3">
      <c r="A383" s="1">
        <v>86338</v>
      </c>
      <c r="B383" s="1" t="str">
        <f>VLOOKUP( WeatherData[[#This Row],[Station Number]], 'Station Numbers'!A:B,2,FALSE)</f>
        <v xml:space="preserve">Melbourne (Olympic Park) </v>
      </c>
      <c r="C383" s="1">
        <v>2020</v>
      </c>
      <c r="D383" s="1">
        <v>1</v>
      </c>
      <c r="E383" s="1">
        <v>16</v>
      </c>
      <c r="F383" s="2">
        <f>DATE(WeatherData[[#This Row],[Year]],WeatherData[[#This Row],[Month]],WeatherData[[#This Row],[Day]])</f>
        <v>43846</v>
      </c>
      <c r="G383" s="2" t="str">
        <f>TEXT(WeatherData[[#This Row],[Date]], "mmmm")</f>
        <v>January</v>
      </c>
      <c r="H383" s="16">
        <v>19.600000000000001</v>
      </c>
      <c r="I383" s="16">
        <v>19.600000000000001</v>
      </c>
      <c r="J383" s="16">
        <v>15.7</v>
      </c>
      <c r="K383" s="6">
        <f t="shared" si="10"/>
        <v>3.9000000000000021</v>
      </c>
      <c r="L383" s="4" t="str">
        <f t="shared" si="11"/>
        <v>Normal</v>
      </c>
    </row>
    <row r="384" spans="1:12" ht="18" customHeight="1" x14ac:dyDescent="0.3">
      <c r="A384" s="1">
        <v>86338</v>
      </c>
      <c r="B384" s="1" t="str">
        <f>VLOOKUP( WeatherData[[#This Row],[Station Number]], 'Station Numbers'!A:B,2,FALSE)</f>
        <v xml:space="preserve">Melbourne (Olympic Park) </v>
      </c>
      <c r="C384" s="1">
        <v>2020</v>
      </c>
      <c r="D384" s="1">
        <v>1</v>
      </c>
      <c r="E384" s="1">
        <v>17</v>
      </c>
      <c r="F384" s="2">
        <f>DATE(WeatherData[[#This Row],[Year]],WeatherData[[#This Row],[Month]],WeatherData[[#This Row],[Day]])</f>
        <v>43847</v>
      </c>
      <c r="G384" s="2" t="str">
        <f>TEXT(WeatherData[[#This Row],[Date]], "mmmm")</f>
        <v>January</v>
      </c>
      <c r="H384" s="16">
        <v>0</v>
      </c>
      <c r="I384" s="16">
        <v>24.8</v>
      </c>
      <c r="J384" s="16">
        <v>14.4</v>
      </c>
      <c r="K384" s="6">
        <f t="shared" si="10"/>
        <v>10.4</v>
      </c>
      <c r="L384" s="4" t="str">
        <f t="shared" si="11"/>
        <v>Normal</v>
      </c>
    </row>
    <row r="385" spans="1:12" ht="18" customHeight="1" x14ac:dyDescent="0.3">
      <c r="A385" s="1">
        <v>86338</v>
      </c>
      <c r="B385" s="1" t="str">
        <f>VLOOKUP( WeatherData[[#This Row],[Station Number]], 'Station Numbers'!A:B,2,FALSE)</f>
        <v xml:space="preserve">Melbourne (Olympic Park) </v>
      </c>
      <c r="C385" s="1">
        <v>2020</v>
      </c>
      <c r="D385" s="1">
        <v>1</v>
      </c>
      <c r="E385" s="1">
        <v>18</v>
      </c>
      <c r="F385" s="2">
        <f>DATE(WeatherData[[#This Row],[Year]],WeatherData[[#This Row],[Month]],WeatherData[[#This Row],[Day]])</f>
        <v>43848</v>
      </c>
      <c r="G385" s="2" t="str">
        <f>TEXT(WeatherData[[#This Row],[Date]], "mmmm")</f>
        <v>January</v>
      </c>
      <c r="H385" s="16">
        <v>0</v>
      </c>
      <c r="I385" s="16">
        <v>29.4</v>
      </c>
      <c r="J385" s="16">
        <v>13.9</v>
      </c>
      <c r="K385" s="6">
        <f t="shared" si="10"/>
        <v>15.499999999999998</v>
      </c>
      <c r="L385" s="4" t="str">
        <f t="shared" si="11"/>
        <v>Normal</v>
      </c>
    </row>
    <row r="386" spans="1:12" ht="18" customHeight="1" x14ac:dyDescent="0.3">
      <c r="A386" s="1">
        <v>86338</v>
      </c>
      <c r="B386" s="1" t="str">
        <f>VLOOKUP( WeatherData[[#This Row],[Station Number]], 'Station Numbers'!A:B,2,FALSE)</f>
        <v xml:space="preserve">Melbourne (Olympic Park) </v>
      </c>
      <c r="C386" s="1">
        <v>2020</v>
      </c>
      <c r="D386" s="1">
        <v>1</v>
      </c>
      <c r="E386" s="1">
        <v>19</v>
      </c>
      <c r="F386" s="2">
        <f>DATE(WeatherData[[#This Row],[Year]],WeatherData[[#This Row],[Month]],WeatherData[[#This Row],[Day]])</f>
        <v>43849</v>
      </c>
      <c r="G386" s="2" t="str">
        <f>TEXT(WeatherData[[#This Row],[Date]], "mmmm")</f>
        <v>January</v>
      </c>
      <c r="H386" s="16">
        <v>0</v>
      </c>
      <c r="I386" s="16">
        <v>25.5</v>
      </c>
      <c r="J386" s="16">
        <v>17.5</v>
      </c>
      <c r="K386" s="6">
        <f t="shared" ref="K386:K449" si="12">I386-J386</f>
        <v>8</v>
      </c>
      <c r="L386" s="4" t="str">
        <f t="shared" ref="L386:L449" si="13">IF(AND(I386&gt;35, H386&gt;20), "Heatwave + Rain",
   IF(I386&gt;35, "Heatwave",
   IF(H386&gt;20, "Heavy Rain",
   IF(I386&lt;10, "Cold",
   "Normal"))))</f>
        <v>Normal</v>
      </c>
    </row>
    <row r="387" spans="1:12" ht="18" customHeight="1" x14ac:dyDescent="0.3">
      <c r="A387" s="1">
        <v>86338</v>
      </c>
      <c r="B387" s="1" t="str">
        <f>VLOOKUP( WeatherData[[#This Row],[Station Number]], 'Station Numbers'!A:B,2,FALSE)</f>
        <v xml:space="preserve">Melbourne (Olympic Park) </v>
      </c>
      <c r="C387" s="1">
        <v>2020</v>
      </c>
      <c r="D387" s="1">
        <v>1</v>
      </c>
      <c r="E387" s="1">
        <v>20</v>
      </c>
      <c r="F387" s="2">
        <f>DATE(WeatherData[[#This Row],[Year]],WeatherData[[#This Row],[Month]],WeatherData[[#This Row],[Day]])</f>
        <v>43850</v>
      </c>
      <c r="G387" s="2" t="str">
        <f>TEXT(WeatherData[[#This Row],[Date]], "mmmm")</f>
        <v>January</v>
      </c>
      <c r="H387" s="16">
        <v>0.4</v>
      </c>
      <c r="I387" s="16">
        <v>21.8</v>
      </c>
      <c r="J387" s="16">
        <v>19.100000000000001</v>
      </c>
      <c r="K387" s="6">
        <f t="shared" si="12"/>
        <v>2.6999999999999993</v>
      </c>
      <c r="L387" s="4" t="str">
        <f t="shared" si="13"/>
        <v>Normal</v>
      </c>
    </row>
    <row r="388" spans="1:12" ht="18" customHeight="1" x14ac:dyDescent="0.3">
      <c r="A388" s="1">
        <v>86338</v>
      </c>
      <c r="B388" s="1" t="str">
        <f>VLOOKUP( WeatherData[[#This Row],[Station Number]], 'Station Numbers'!A:B,2,FALSE)</f>
        <v xml:space="preserve">Melbourne (Olympic Park) </v>
      </c>
      <c r="C388" s="1">
        <v>2020</v>
      </c>
      <c r="D388" s="1">
        <v>1</v>
      </c>
      <c r="E388" s="1">
        <v>21</v>
      </c>
      <c r="F388" s="2">
        <f>DATE(WeatherData[[#This Row],[Year]],WeatherData[[#This Row],[Month]],WeatherData[[#This Row],[Day]])</f>
        <v>43851</v>
      </c>
      <c r="G388" s="2" t="str">
        <f>TEXT(WeatherData[[#This Row],[Date]], "mmmm")</f>
        <v>January</v>
      </c>
      <c r="H388" s="16">
        <v>44</v>
      </c>
      <c r="I388" s="16">
        <v>23.5</v>
      </c>
      <c r="J388" s="16">
        <v>14.8</v>
      </c>
      <c r="K388" s="6">
        <f t="shared" si="12"/>
        <v>8.6999999999999993</v>
      </c>
      <c r="L388" s="4" t="str">
        <f t="shared" si="13"/>
        <v>Heavy Rain</v>
      </c>
    </row>
    <row r="389" spans="1:12" ht="18" customHeight="1" x14ac:dyDescent="0.3">
      <c r="A389" s="1">
        <v>86338</v>
      </c>
      <c r="B389" s="1" t="str">
        <f>VLOOKUP( WeatherData[[#This Row],[Station Number]], 'Station Numbers'!A:B,2,FALSE)</f>
        <v xml:space="preserve">Melbourne (Olympic Park) </v>
      </c>
      <c r="C389" s="1">
        <v>2020</v>
      </c>
      <c r="D389" s="1">
        <v>1</v>
      </c>
      <c r="E389" s="1">
        <v>22</v>
      </c>
      <c r="F389" s="2">
        <f>DATE(WeatherData[[#This Row],[Year]],WeatherData[[#This Row],[Month]],WeatherData[[#This Row],[Day]])</f>
        <v>43852</v>
      </c>
      <c r="G389" s="2" t="str">
        <f>TEXT(WeatherData[[#This Row],[Date]], "mmmm")</f>
        <v>January</v>
      </c>
      <c r="H389" s="16">
        <v>0</v>
      </c>
      <c r="I389" s="16">
        <v>31.7</v>
      </c>
      <c r="J389" s="16">
        <v>14.1</v>
      </c>
      <c r="K389" s="6">
        <f t="shared" si="12"/>
        <v>17.600000000000001</v>
      </c>
      <c r="L389" s="4" t="str">
        <f t="shared" si="13"/>
        <v>Normal</v>
      </c>
    </row>
    <row r="390" spans="1:12" ht="18" customHeight="1" x14ac:dyDescent="0.3">
      <c r="A390" s="1">
        <v>86338</v>
      </c>
      <c r="B390" s="1" t="str">
        <f>VLOOKUP( WeatherData[[#This Row],[Station Number]], 'Station Numbers'!A:B,2,FALSE)</f>
        <v xml:space="preserve">Melbourne (Olympic Park) </v>
      </c>
      <c r="C390" s="1">
        <v>2020</v>
      </c>
      <c r="D390" s="1">
        <v>1</v>
      </c>
      <c r="E390" s="1">
        <v>23</v>
      </c>
      <c r="F390" s="2">
        <f>DATE(WeatherData[[#This Row],[Year]],WeatherData[[#This Row],[Month]],WeatherData[[#This Row],[Day]])</f>
        <v>43853</v>
      </c>
      <c r="G390" s="2" t="str">
        <f>TEXT(WeatherData[[#This Row],[Date]], "mmmm")</f>
        <v>January</v>
      </c>
      <c r="H390" s="16">
        <v>22.8</v>
      </c>
      <c r="I390" s="16">
        <v>22.6</v>
      </c>
      <c r="J390" s="16">
        <v>12.9</v>
      </c>
      <c r="K390" s="6">
        <f t="shared" si="12"/>
        <v>9.7000000000000011</v>
      </c>
      <c r="L390" s="4" t="str">
        <f t="shared" si="13"/>
        <v>Heavy Rain</v>
      </c>
    </row>
    <row r="391" spans="1:12" ht="18" customHeight="1" x14ac:dyDescent="0.3">
      <c r="A391" s="1">
        <v>86338</v>
      </c>
      <c r="B391" s="1" t="str">
        <f>VLOOKUP( WeatherData[[#This Row],[Station Number]], 'Station Numbers'!A:B,2,FALSE)</f>
        <v xml:space="preserve">Melbourne (Olympic Park) </v>
      </c>
      <c r="C391" s="1">
        <v>2020</v>
      </c>
      <c r="D391" s="1">
        <v>1</v>
      </c>
      <c r="E391" s="1">
        <v>24</v>
      </c>
      <c r="F391" s="2">
        <f>DATE(WeatherData[[#This Row],[Year]],WeatherData[[#This Row],[Month]],WeatherData[[#This Row],[Day]])</f>
        <v>43854</v>
      </c>
      <c r="G391" s="2" t="str">
        <f>TEXT(WeatherData[[#This Row],[Date]], "mmmm")</f>
        <v>January</v>
      </c>
      <c r="H391" s="16">
        <v>1.2</v>
      </c>
      <c r="I391" s="16">
        <v>24.1</v>
      </c>
      <c r="J391" s="16">
        <v>11.7</v>
      </c>
      <c r="K391" s="6">
        <f t="shared" si="12"/>
        <v>12.400000000000002</v>
      </c>
      <c r="L391" s="4" t="str">
        <f t="shared" si="13"/>
        <v>Normal</v>
      </c>
    </row>
    <row r="392" spans="1:12" ht="18" customHeight="1" x14ac:dyDescent="0.3">
      <c r="A392" s="1">
        <v>86338</v>
      </c>
      <c r="B392" s="1" t="str">
        <f>VLOOKUP( WeatherData[[#This Row],[Station Number]], 'Station Numbers'!A:B,2,FALSE)</f>
        <v xml:space="preserve">Melbourne (Olympic Park) </v>
      </c>
      <c r="C392" s="1">
        <v>2020</v>
      </c>
      <c r="D392" s="1">
        <v>1</v>
      </c>
      <c r="E392" s="1">
        <v>25</v>
      </c>
      <c r="F392" s="2">
        <f>DATE(WeatherData[[#This Row],[Year]],WeatherData[[#This Row],[Month]],WeatherData[[#This Row],[Day]])</f>
        <v>43855</v>
      </c>
      <c r="G392" s="2" t="str">
        <f>TEXT(WeatherData[[#This Row],[Date]], "mmmm")</f>
        <v>January</v>
      </c>
      <c r="H392" s="16">
        <v>0</v>
      </c>
      <c r="I392" s="16">
        <v>27.4</v>
      </c>
      <c r="J392" s="16">
        <v>13</v>
      </c>
      <c r="K392" s="6">
        <f t="shared" si="12"/>
        <v>14.399999999999999</v>
      </c>
      <c r="L392" s="4" t="str">
        <f t="shared" si="13"/>
        <v>Normal</v>
      </c>
    </row>
    <row r="393" spans="1:12" ht="18" customHeight="1" x14ac:dyDescent="0.3">
      <c r="A393" s="1">
        <v>86338</v>
      </c>
      <c r="B393" s="1" t="str">
        <f>VLOOKUP( WeatherData[[#This Row],[Station Number]], 'Station Numbers'!A:B,2,FALSE)</f>
        <v xml:space="preserve">Melbourne (Olympic Park) </v>
      </c>
      <c r="C393" s="1">
        <v>2020</v>
      </c>
      <c r="D393" s="1">
        <v>1</v>
      </c>
      <c r="E393" s="1">
        <v>26</v>
      </c>
      <c r="F393" s="2">
        <f>DATE(WeatherData[[#This Row],[Year]],WeatherData[[#This Row],[Month]],WeatherData[[#This Row],[Day]])</f>
        <v>43856</v>
      </c>
      <c r="G393" s="2" t="str">
        <f>TEXT(WeatherData[[#This Row],[Date]], "mmmm")</f>
        <v>January</v>
      </c>
      <c r="H393" s="16">
        <v>0</v>
      </c>
      <c r="I393" s="16">
        <v>23.6</v>
      </c>
      <c r="J393" s="16">
        <v>15.8</v>
      </c>
      <c r="K393" s="6">
        <f t="shared" si="12"/>
        <v>7.8000000000000007</v>
      </c>
      <c r="L393" s="4" t="str">
        <f t="shared" si="13"/>
        <v>Normal</v>
      </c>
    </row>
    <row r="394" spans="1:12" ht="18" customHeight="1" x14ac:dyDescent="0.3">
      <c r="A394" s="1">
        <v>86338</v>
      </c>
      <c r="B394" s="1" t="str">
        <f>VLOOKUP( WeatherData[[#This Row],[Station Number]], 'Station Numbers'!A:B,2,FALSE)</f>
        <v xml:space="preserve">Melbourne (Olympic Park) </v>
      </c>
      <c r="C394" s="1">
        <v>2020</v>
      </c>
      <c r="D394" s="1">
        <v>1</v>
      </c>
      <c r="E394" s="1">
        <v>27</v>
      </c>
      <c r="F394" s="2">
        <f>DATE(WeatherData[[#This Row],[Year]],WeatherData[[#This Row],[Month]],WeatherData[[#This Row],[Day]])</f>
        <v>43857</v>
      </c>
      <c r="G394" s="2" t="str">
        <f>TEXT(WeatherData[[#This Row],[Date]], "mmmm")</f>
        <v>January</v>
      </c>
      <c r="H394" s="16">
        <v>0</v>
      </c>
      <c r="I394" s="16">
        <v>23.1</v>
      </c>
      <c r="J394" s="16">
        <v>12.8</v>
      </c>
      <c r="K394" s="6">
        <f t="shared" si="12"/>
        <v>10.3</v>
      </c>
      <c r="L394" s="4" t="str">
        <f t="shared" si="13"/>
        <v>Normal</v>
      </c>
    </row>
    <row r="395" spans="1:12" ht="18" customHeight="1" x14ac:dyDescent="0.3">
      <c r="A395" s="1">
        <v>86338</v>
      </c>
      <c r="B395" s="1" t="str">
        <f>VLOOKUP( WeatherData[[#This Row],[Station Number]], 'Station Numbers'!A:B,2,FALSE)</f>
        <v xml:space="preserve">Melbourne (Olympic Park) </v>
      </c>
      <c r="C395" s="1">
        <v>2020</v>
      </c>
      <c r="D395" s="1">
        <v>1</v>
      </c>
      <c r="E395" s="1">
        <v>28</v>
      </c>
      <c r="F395" s="2">
        <f>DATE(WeatherData[[#This Row],[Year]],WeatherData[[#This Row],[Month]],WeatherData[[#This Row],[Day]])</f>
        <v>43858</v>
      </c>
      <c r="G395" s="2" t="str">
        <f>TEXT(WeatherData[[#This Row],[Date]], "mmmm")</f>
        <v>January</v>
      </c>
      <c r="H395" s="16">
        <v>0</v>
      </c>
      <c r="I395" s="16">
        <v>25.4</v>
      </c>
      <c r="J395" s="16">
        <v>13.6</v>
      </c>
      <c r="K395" s="6">
        <f t="shared" si="12"/>
        <v>11.799999999999999</v>
      </c>
      <c r="L395" s="4" t="str">
        <f t="shared" si="13"/>
        <v>Normal</v>
      </c>
    </row>
    <row r="396" spans="1:12" ht="18" customHeight="1" x14ac:dyDescent="0.3">
      <c r="A396" s="1">
        <v>86338</v>
      </c>
      <c r="B396" s="1" t="str">
        <f>VLOOKUP( WeatherData[[#This Row],[Station Number]], 'Station Numbers'!A:B,2,FALSE)</f>
        <v xml:space="preserve">Melbourne (Olympic Park) </v>
      </c>
      <c r="C396" s="1">
        <v>2020</v>
      </c>
      <c r="D396" s="1">
        <v>1</v>
      </c>
      <c r="E396" s="1">
        <v>29</v>
      </c>
      <c r="F396" s="2">
        <f>DATE(WeatherData[[#This Row],[Year]],WeatherData[[#This Row],[Month]],WeatherData[[#This Row],[Day]])</f>
        <v>43859</v>
      </c>
      <c r="G396" s="2" t="str">
        <f>TEXT(WeatherData[[#This Row],[Date]], "mmmm")</f>
        <v>January</v>
      </c>
      <c r="H396" s="16">
        <v>0</v>
      </c>
      <c r="I396" s="16">
        <v>31.5</v>
      </c>
      <c r="J396" s="16">
        <v>15.2</v>
      </c>
      <c r="K396" s="6">
        <f t="shared" si="12"/>
        <v>16.3</v>
      </c>
      <c r="L396" s="4" t="str">
        <f t="shared" si="13"/>
        <v>Normal</v>
      </c>
    </row>
    <row r="397" spans="1:12" ht="18" customHeight="1" x14ac:dyDescent="0.3">
      <c r="A397" s="1">
        <v>86338</v>
      </c>
      <c r="B397" s="1" t="str">
        <f>VLOOKUP( WeatherData[[#This Row],[Station Number]], 'Station Numbers'!A:B,2,FALSE)</f>
        <v xml:space="preserve">Melbourne (Olympic Park) </v>
      </c>
      <c r="C397" s="1">
        <v>2020</v>
      </c>
      <c r="D397" s="1">
        <v>1</v>
      </c>
      <c r="E397" s="1">
        <v>30</v>
      </c>
      <c r="F397" s="2">
        <f>DATE(WeatherData[[#This Row],[Year]],WeatherData[[#This Row],[Month]],WeatherData[[#This Row],[Day]])</f>
        <v>43860</v>
      </c>
      <c r="G397" s="2" t="str">
        <f>TEXT(WeatherData[[#This Row],[Date]], "mmmm")</f>
        <v>January</v>
      </c>
      <c r="H397" s="16">
        <v>0</v>
      </c>
      <c r="I397" s="16">
        <v>39.4</v>
      </c>
      <c r="J397" s="16">
        <v>16.399999999999999</v>
      </c>
      <c r="K397" s="6">
        <f t="shared" si="12"/>
        <v>23</v>
      </c>
      <c r="L397" s="4" t="str">
        <f t="shared" si="13"/>
        <v>Heatwave</v>
      </c>
    </row>
    <row r="398" spans="1:12" ht="18" customHeight="1" x14ac:dyDescent="0.3">
      <c r="A398" s="1">
        <v>86338</v>
      </c>
      <c r="B398" s="1" t="str">
        <f>VLOOKUP( WeatherData[[#This Row],[Station Number]], 'Station Numbers'!A:B,2,FALSE)</f>
        <v xml:space="preserve">Melbourne (Olympic Park) </v>
      </c>
      <c r="C398" s="1">
        <v>2020</v>
      </c>
      <c r="D398" s="1">
        <v>1</v>
      </c>
      <c r="E398" s="1">
        <v>31</v>
      </c>
      <c r="F398" s="2">
        <f>DATE(WeatherData[[#This Row],[Year]],WeatherData[[#This Row],[Month]],WeatherData[[#This Row],[Day]])</f>
        <v>43861</v>
      </c>
      <c r="G398" s="2" t="str">
        <f>TEXT(WeatherData[[#This Row],[Date]], "mmmm")</f>
        <v>January</v>
      </c>
      <c r="H398" s="16">
        <v>0</v>
      </c>
      <c r="I398" s="16">
        <v>42.9</v>
      </c>
      <c r="J398" s="16">
        <v>21.5</v>
      </c>
      <c r="K398" s="6">
        <f t="shared" si="12"/>
        <v>21.4</v>
      </c>
      <c r="L398" s="4" t="str">
        <f t="shared" si="13"/>
        <v>Heatwave</v>
      </c>
    </row>
    <row r="399" spans="1:12" ht="18" customHeight="1" x14ac:dyDescent="0.3">
      <c r="A399" s="1">
        <v>86338</v>
      </c>
      <c r="B399" s="1" t="str">
        <f>VLOOKUP( WeatherData[[#This Row],[Station Number]], 'Station Numbers'!A:B,2,FALSE)</f>
        <v xml:space="preserve">Melbourne (Olympic Park) </v>
      </c>
      <c r="C399" s="1">
        <v>2020</v>
      </c>
      <c r="D399" s="1">
        <v>2</v>
      </c>
      <c r="E399" s="1">
        <v>1</v>
      </c>
      <c r="F399" s="2">
        <f>DATE(WeatherData[[#This Row],[Year]],WeatherData[[#This Row],[Month]],WeatherData[[#This Row],[Day]])</f>
        <v>43862</v>
      </c>
      <c r="G399" s="2" t="str">
        <f>TEXT(WeatherData[[#This Row],[Date]], "mmmm")</f>
        <v>February</v>
      </c>
      <c r="H399" s="16">
        <v>0.8</v>
      </c>
      <c r="I399" s="16">
        <v>29.3</v>
      </c>
      <c r="J399" s="16">
        <v>23.5</v>
      </c>
      <c r="K399" s="6">
        <f t="shared" si="12"/>
        <v>5.8000000000000007</v>
      </c>
      <c r="L399" s="4" t="str">
        <f t="shared" si="13"/>
        <v>Normal</v>
      </c>
    </row>
    <row r="400" spans="1:12" ht="18" customHeight="1" x14ac:dyDescent="0.3">
      <c r="A400" s="1">
        <v>86338</v>
      </c>
      <c r="B400" s="1" t="str">
        <f>VLOOKUP( WeatherData[[#This Row],[Station Number]], 'Station Numbers'!A:B,2,FALSE)</f>
        <v xml:space="preserve">Melbourne (Olympic Park) </v>
      </c>
      <c r="C400" s="1">
        <v>2020</v>
      </c>
      <c r="D400" s="1">
        <v>2</v>
      </c>
      <c r="E400" s="1">
        <v>2</v>
      </c>
      <c r="F400" s="2">
        <f>DATE(WeatherData[[#This Row],[Year]],WeatherData[[#This Row],[Month]],WeatherData[[#This Row],[Day]])</f>
        <v>43863</v>
      </c>
      <c r="G400" s="2" t="str">
        <f>TEXT(WeatherData[[#This Row],[Date]], "mmmm")</f>
        <v>February</v>
      </c>
      <c r="H400" s="16">
        <v>14.8</v>
      </c>
      <c r="I400" s="16">
        <v>25.1</v>
      </c>
      <c r="J400" s="16">
        <v>14.2</v>
      </c>
      <c r="K400" s="6">
        <f t="shared" si="12"/>
        <v>10.900000000000002</v>
      </c>
      <c r="L400" s="4" t="str">
        <f t="shared" si="13"/>
        <v>Normal</v>
      </c>
    </row>
    <row r="401" spans="1:12" ht="18" customHeight="1" x14ac:dyDescent="0.3">
      <c r="A401" s="1">
        <v>86338</v>
      </c>
      <c r="B401" s="1" t="str">
        <f>VLOOKUP( WeatherData[[#This Row],[Station Number]], 'Station Numbers'!A:B,2,FALSE)</f>
        <v xml:space="preserve">Melbourne (Olympic Park) </v>
      </c>
      <c r="C401" s="1">
        <v>2020</v>
      </c>
      <c r="D401" s="1">
        <v>2</v>
      </c>
      <c r="E401" s="1">
        <v>3</v>
      </c>
      <c r="F401" s="2">
        <f>DATE(WeatherData[[#This Row],[Year]],WeatherData[[#This Row],[Month]],WeatherData[[#This Row],[Day]])</f>
        <v>43864</v>
      </c>
      <c r="G401" s="2" t="str">
        <f>TEXT(WeatherData[[#This Row],[Date]], "mmmm")</f>
        <v>February</v>
      </c>
      <c r="H401" s="16">
        <v>0</v>
      </c>
      <c r="I401" s="16">
        <v>17.7</v>
      </c>
      <c r="J401" s="16">
        <v>13.2</v>
      </c>
      <c r="K401" s="6">
        <f t="shared" si="12"/>
        <v>4.5</v>
      </c>
      <c r="L401" s="4" t="str">
        <f t="shared" si="13"/>
        <v>Normal</v>
      </c>
    </row>
    <row r="402" spans="1:12" ht="18" customHeight="1" x14ac:dyDescent="0.3">
      <c r="A402" s="1">
        <v>86338</v>
      </c>
      <c r="B402" s="1" t="str">
        <f>VLOOKUP( WeatherData[[#This Row],[Station Number]], 'Station Numbers'!A:B,2,FALSE)</f>
        <v xml:space="preserve">Melbourne (Olympic Park) </v>
      </c>
      <c r="C402" s="1">
        <v>2020</v>
      </c>
      <c r="D402" s="1">
        <v>2</v>
      </c>
      <c r="E402" s="1">
        <v>4</v>
      </c>
      <c r="F402" s="2">
        <f>DATE(WeatherData[[#This Row],[Year]],WeatherData[[#This Row],[Month]],WeatherData[[#This Row],[Day]])</f>
        <v>43865</v>
      </c>
      <c r="G402" s="2" t="str">
        <f>TEXT(WeatherData[[#This Row],[Date]], "mmmm")</f>
        <v>February</v>
      </c>
      <c r="H402" s="16">
        <v>0</v>
      </c>
      <c r="I402" s="16">
        <v>19.7</v>
      </c>
      <c r="J402" s="16">
        <v>11.3</v>
      </c>
      <c r="K402" s="6">
        <f t="shared" si="12"/>
        <v>8.3999999999999986</v>
      </c>
      <c r="L402" s="4" t="str">
        <f t="shared" si="13"/>
        <v>Normal</v>
      </c>
    </row>
    <row r="403" spans="1:12" ht="18" customHeight="1" x14ac:dyDescent="0.3">
      <c r="A403" s="1">
        <v>86338</v>
      </c>
      <c r="B403" s="1" t="str">
        <f>VLOOKUP( WeatherData[[#This Row],[Station Number]], 'Station Numbers'!A:B,2,FALSE)</f>
        <v xml:space="preserve">Melbourne (Olympic Park) </v>
      </c>
      <c r="C403" s="1">
        <v>2020</v>
      </c>
      <c r="D403" s="1">
        <v>2</v>
      </c>
      <c r="E403" s="1">
        <v>5</v>
      </c>
      <c r="F403" s="2">
        <f>DATE(WeatherData[[#This Row],[Year]],WeatherData[[#This Row],[Month]],WeatherData[[#This Row],[Day]])</f>
        <v>43866</v>
      </c>
      <c r="G403" s="2" t="str">
        <f>TEXT(WeatherData[[#This Row],[Date]], "mmmm")</f>
        <v>February</v>
      </c>
      <c r="H403" s="16">
        <v>0</v>
      </c>
      <c r="I403" s="16">
        <v>20.100000000000001</v>
      </c>
      <c r="J403" s="16">
        <v>10.8</v>
      </c>
      <c r="K403" s="6">
        <f t="shared" si="12"/>
        <v>9.3000000000000007</v>
      </c>
      <c r="L403" s="4" t="str">
        <f t="shared" si="13"/>
        <v>Normal</v>
      </c>
    </row>
    <row r="404" spans="1:12" ht="18" customHeight="1" x14ac:dyDescent="0.3">
      <c r="A404" s="1">
        <v>86338</v>
      </c>
      <c r="B404" s="1" t="str">
        <f>VLOOKUP( WeatherData[[#This Row],[Station Number]], 'Station Numbers'!A:B,2,FALSE)</f>
        <v xml:space="preserve">Melbourne (Olympic Park) </v>
      </c>
      <c r="C404" s="1">
        <v>2020</v>
      </c>
      <c r="D404" s="1">
        <v>2</v>
      </c>
      <c r="E404" s="1">
        <v>6</v>
      </c>
      <c r="F404" s="2">
        <f>DATE(WeatherData[[#This Row],[Year]],WeatherData[[#This Row],[Month]],WeatherData[[#This Row],[Day]])</f>
        <v>43867</v>
      </c>
      <c r="G404" s="2" t="str">
        <f>TEXT(WeatherData[[#This Row],[Date]], "mmmm")</f>
        <v>February</v>
      </c>
      <c r="H404" s="16">
        <v>0</v>
      </c>
      <c r="I404" s="16">
        <v>25.5</v>
      </c>
      <c r="J404" s="16">
        <v>13.7</v>
      </c>
      <c r="K404" s="6">
        <f t="shared" si="12"/>
        <v>11.8</v>
      </c>
      <c r="L404" s="4" t="str">
        <f t="shared" si="13"/>
        <v>Normal</v>
      </c>
    </row>
    <row r="405" spans="1:12" ht="18" customHeight="1" x14ac:dyDescent="0.3">
      <c r="A405" s="1">
        <v>86338</v>
      </c>
      <c r="B405" s="1" t="str">
        <f>VLOOKUP( WeatherData[[#This Row],[Station Number]], 'Station Numbers'!A:B,2,FALSE)</f>
        <v xml:space="preserve">Melbourne (Olympic Park) </v>
      </c>
      <c r="C405" s="1">
        <v>2020</v>
      </c>
      <c r="D405" s="1">
        <v>2</v>
      </c>
      <c r="E405" s="1">
        <v>7</v>
      </c>
      <c r="F405" s="2">
        <f>DATE(WeatherData[[#This Row],[Year]],WeatherData[[#This Row],[Month]],WeatherData[[#This Row],[Day]])</f>
        <v>43868</v>
      </c>
      <c r="G405" s="2" t="str">
        <f>TEXT(WeatherData[[#This Row],[Date]], "mmmm")</f>
        <v>February</v>
      </c>
      <c r="H405" s="16">
        <v>0</v>
      </c>
      <c r="I405" s="16">
        <v>23.2</v>
      </c>
      <c r="J405" s="16">
        <v>16.5</v>
      </c>
      <c r="K405" s="6">
        <f t="shared" si="12"/>
        <v>6.6999999999999993</v>
      </c>
      <c r="L405" s="4" t="str">
        <f t="shared" si="13"/>
        <v>Normal</v>
      </c>
    </row>
    <row r="406" spans="1:12" ht="18" customHeight="1" x14ac:dyDescent="0.3">
      <c r="A406" s="1">
        <v>86338</v>
      </c>
      <c r="B406" s="1" t="str">
        <f>VLOOKUP( WeatherData[[#This Row],[Station Number]], 'Station Numbers'!A:B,2,FALSE)</f>
        <v xml:space="preserve">Melbourne (Olympic Park) </v>
      </c>
      <c r="C406" s="1">
        <v>2020</v>
      </c>
      <c r="D406" s="1">
        <v>2</v>
      </c>
      <c r="E406" s="1">
        <v>8</v>
      </c>
      <c r="F406" s="2">
        <f>DATE(WeatherData[[#This Row],[Year]],WeatherData[[#This Row],[Month]],WeatherData[[#This Row],[Day]])</f>
        <v>43869</v>
      </c>
      <c r="G406" s="2" t="str">
        <f>TEXT(WeatherData[[#This Row],[Date]], "mmmm")</f>
        <v>February</v>
      </c>
      <c r="H406" s="16">
        <v>0</v>
      </c>
      <c r="I406" s="16">
        <v>29.4</v>
      </c>
      <c r="J406" s="16">
        <v>17.399999999999999</v>
      </c>
      <c r="K406" s="6">
        <f t="shared" si="12"/>
        <v>12</v>
      </c>
      <c r="L406" s="4" t="str">
        <f t="shared" si="13"/>
        <v>Normal</v>
      </c>
    </row>
    <row r="407" spans="1:12" ht="18" customHeight="1" x14ac:dyDescent="0.3">
      <c r="A407" s="1">
        <v>86338</v>
      </c>
      <c r="B407" s="1" t="str">
        <f>VLOOKUP( WeatherData[[#This Row],[Station Number]], 'Station Numbers'!A:B,2,FALSE)</f>
        <v xml:space="preserve">Melbourne (Olympic Park) </v>
      </c>
      <c r="C407" s="1">
        <v>2020</v>
      </c>
      <c r="D407" s="1">
        <v>2</v>
      </c>
      <c r="E407" s="1">
        <v>9</v>
      </c>
      <c r="F407" s="2">
        <f>DATE(WeatherData[[#This Row],[Year]],WeatherData[[#This Row],[Month]],WeatherData[[#This Row],[Day]])</f>
        <v>43870</v>
      </c>
      <c r="G407" s="2" t="str">
        <f>TEXT(WeatherData[[#This Row],[Date]], "mmmm")</f>
        <v>February</v>
      </c>
      <c r="H407" s="16">
        <v>0</v>
      </c>
      <c r="I407" s="16">
        <v>28.2</v>
      </c>
      <c r="J407" s="16">
        <v>19.600000000000001</v>
      </c>
      <c r="K407" s="6">
        <f t="shared" si="12"/>
        <v>8.5999999999999979</v>
      </c>
      <c r="L407" s="4" t="str">
        <f t="shared" si="13"/>
        <v>Normal</v>
      </c>
    </row>
    <row r="408" spans="1:12" ht="18" customHeight="1" x14ac:dyDescent="0.3">
      <c r="A408" s="1">
        <v>86338</v>
      </c>
      <c r="B408" s="1" t="str">
        <f>VLOOKUP( WeatherData[[#This Row],[Station Number]], 'Station Numbers'!A:B,2,FALSE)</f>
        <v xml:space="preserve">Melbourne (Olympic Park) </v>
      </c>
      <c r="C408" s="1">
        <v>2020</v>
      </c>
      <c r="D408" s="1">
        <v>2</v>
      </c>
      <c r="E408" s="1">
        <v>10</v>
      </c>
      <c r="F408" s="2">
        <f>DATE(WeatherData[[#This Row],[Year]],WeatherData[[#This Row],[Month]],WeatherData[[#This Row],[Day]])</f>
        <v>43871</v>
      </c>
      <c r="G408" s="2" t="str">
        <f>TEXT(WeatherData[[#This Row],[Date]], "mmmm")</f>
        <v>February</v>
      </c>
      <c r="H408" s="16">
        <v>0.6</v>
      </c>
      <c r="I408" s="16">
        <v>27.7</v>
      </c>
      <c r="J408" s="16">
        <v>18.5</v>
      </c>
      <c r="K408" s="6">
        <f t="shared" si="12"/>
        <v>9.1999999999999993</v>
      </c>
      <c r="L408" s="4" t="str">
        <f t="shared" si="13"/>
        <v>Normal</v>
      </c>
    </row>
    <row r="409" spans="1:12" ht="18" customHeight="1" x14ac:dyDescent="0.3">
      <c r="A409" s="1">
        <v>86338</v>
      </c>
      <c r="B409" s="1" t="str">
        <f>VLOOKUP( WeatherData[[#This Row],[Station Number]], 'Station Numbers'!A:B,2,FALSE)</f>
        <v xml:space="preserve">Melbourne (Olympic Park) </v>
      </c>
      <c r="C409" s="1">
        <v>2020</v>
      </c>
      <c r="D409" s="1">
        <v>2</v>
      </c>
      <c r="E409" s="1">
        <v>11</v>
      </c>
      <c r="F409" s="2">
        <f>DATE(WeatherData[[#This Row],[Year]],WeatherData[[#This Row],[Month]],WeatherData[[#This Row],[Day]])</f>
        <v>43872</v>
      </c>
      <c r="G409" s="2" t="str">
        <f>TEXT(WeatherData[[#This Row],[Date]], "mmmm")</f>
        <v>February</v>
      </c>
      <c r="H409" s="16">
        <v>0</v>
      </c>
      <c r="I409" s="16">
        <v>25.9</v>
      </c>
      <c r="J409" s="16">
        <v>19.5</v>
      </c>
      <c r="K409" s="6">
        <f t="shared" si="12"/>
        <v>6.3999999999999986</v>
      </c>
      <c r="L409" s="4" t="str">
        <f t="shared" si="13"/>
        <v>Normal</v>
      </c>
    </row>
    <row r="410" spans="1:12" ht="18" customHeight="1" x14ac:dyDescent="0.3">
      <c r="A410" s="1">
        <v>86338</v>
      </c>
      <c r="B410" s="1" t="str">
        <f>VLOOKUP( WeatherData[[#This Row],[Station Number]], 'Station Numbers'!A:B,2,FALSE)</f>
        <v xml:space="preserve">Melbourne (Olympic Park) </v>
      </c>
      <c r="C410" s="1">
        <v>2020</v>
      </c>
      <c r="D410" s="1">
        <v>2</v>
      </c>
      <c r="E410" s="1">
        <v>12</v>
      </c>
      <c r="F410" s="2">
        <f>DATE(WeatherData[[#This Row],[Year]],WeatherData[[#This Row],[Month]],WeatherData[[#This Row],[Day]])</f>
        <v>43873</v>
      </c>
      <c r="G410" s="2" t="str">
        <f>TEXT(WeatherData[[#This Row],[Date]], "mmmm")</f>
        <v>February</v>
      </c>
      <c r="H410" s="16">
        <v>0</v>
      </c>
      <c r="I410" s="16">
        <v>27.7</v>
      </c>
      <c r="J410" s="16">
        <v>19.100000000000001</v>
      </c>
      <c r="K410" s="6">
        <f t="shared" si="12"/>
        <v>8.5999999999999979</v>
      </c>
      <c r="L410" s="4" t="str">
        <f t="shared" si="13"/>
        <v>Normal</v>
      </c>
    </row>
    <row r="411" spans="1:12" ht="18" customHeight="1" x14ac:dyDescent="0.3">
      <c r="A411" s="1">
        <v>86338</v>
      </c>
      <c r="B411" s="1" t="str">
        <f>VLOOKUP( WeatherData[[#This Row],[Station Number]], 'Station Numbers'!A:B,2,FALSE)</f>
        <v xml:space="preserve">Melbourne (Olympic Park) </v>
      </c>
      <c r="C411" s="1">
        <v>2020</v>
      </c>
      <c r="D411" s="1">
        <v>2</v>
      </c>
      <c r="E411" s="1">
        <v>13</v>
      </c>
      <c r="F411" s="2">
        <f>DATE(WeatherData[[#This Row],[Year]],WeatherData[[#This Row],[Month]],WeatherData[[#This Row],[Day]])</f>
        <v>43874</v>
      </c>
      <c r="G411" s="2" t="str">
        <f>TEXT(WeatherData[[#This Row],[Date]], "mmmm")</f>
        <v>February</v>
      </c>
      <c r="H411" s="16">
        <v>0</v>
      </c>
      <c r="I411" s="16">
        <v>31.7</v>
      </c>
      <c r="J411" s="16">
        <v>19.399999999999999</v>
      </c>
      <c r="K411" s="6">
        <f t="shared" si="12"/>
        <v>12.3</v>
      </c>
      <c r="L411" s="4" t="str">
        <f t="shared" si="13"/>
        <v>Normal</v>
      </c>
    </row>
    <row r="412" spans="1:12" ht="18" customHeight="1" x14ac:dyDescent="0.3">
      <c r="A412" s="1">
        <v>86338</v>
      </c>
      <c r="B412" s="1" t="str">
        <f>VLOOKUP( WeatherData[[#This Row],[Station Number]], 'Station Numbers'!A:B,2,FALSE)</f>
        <v xml:space="preserve">Melbourne (Olympic Park) </v>
      </c>
      <c r="C412" s="1">
        <v>2020</v>
      </c>
      <c r="D412" s="1">
        <v>2</v>
      </c>
      <c r="E412" s="1">
        <v>14</v>
      </c>
      <c r="F412" s="2">
        <f>DATE(WeatherData[[#This Row],[Year]],WeatherData[[#This Row],[Month]],WeatherData[[#This Row],[Day]])</f>
        <v>43875</v>
      </c>
      <c r="G412" s="2" t="str">
        <f>TEXT(WeatherData[[#This Row],[Date]], "mmmm")</f>
        <v>February</v>
      </c>
      <c r="H412" s="16">
        <v>0</v>
      </c>
      <c r="I412" s="16">
        <v>33.700000000000003</v>
      </c>
      <c r="J412" s="16">
        <v>20.3</v>
      </c>
      <c r="K412" s="6">
        <f t="shared" si="12"/>
        <v>13.400000000000002</v>
      </c>
      <c r="L412" s="4" t="str">
        <f t="shared" si="13"/>
        <v>Normal</v>
      </c>
    </row>
    <row r="413" spans="1:12" ht="18" customHeight="1" x14ac:dyDescent="0.3">
      <c r="A413" s="1">
        <v>86338</v>
      </c>
      <c r="B413" s="1" t="str">
        <f>VLOOKUP( WeatherData[[#This Row],[Station Number]], 'Station Numbers'!A:B,2,FALSE)</f>
        <v xml:space="preserve">Melbourne (Olympic Park) </v>
      </c>
      <c r="C413" s="1">
        <v>2020</v>
      </c>
      <c r="D413" s="1">
        <v>2</v>
      </c>
      <c r="E413" s="1">
        <v>15</v>
      </c>
      <c r="F413" s="2">
        <f>DATE(WeatherData[[#This Row],[Year]],WeatherData[[#This Row],[Month]],WeatherData[[#This Row],[Day]])</f>
        <v>43876</v>
      </c>
      <c r="G413" s="2" t="str">
        <f>TEXT(WeatherData[[#This Row],[Date]], "mmmm")</f>
        <v>February</v>
      </c>
      <c r="H413" s="16">
        <v>5.4</v>
      </c>
      <c r="I413" s="16">
        <v>19.3</v>
      </c>
      <c r="J413" s="16">
        <v>18.899999999999999</v>
      </c>
      <c r="K413" s="6">
        <f t="shared" si="12"/>
        <v>0.40000000000000213</v>
      </c>
      <c r="L413" s="4" t="str">
        <f t="shared" si="13"/>
        <v>Normal</v>
      </c>
    </row>
    <row r="414" spans="1:12" ht="18" customHeight="1" x14ac:dyDescent="0.3">
      <c r="A414" s="1">
        <v>86338</v>
      </c>
      <c r="B414" s="1" t="str">
        <f>VLOOKUP( WeatherData[[#This Row],[Station Number]], 'Station Numbers'!A:B,2,FALSE)</f>
        <v xml:space="preserve">Melbourne (Olympic Park) </v>
      </c>
      <c r="C414" s="1">
        <v>2020</v>
      </c>
      <c r="D414" s="1">
        <v>2</v>
      </c>
      <c r="E414" s="1">
        <v>16</v>
      </c>
      <c r="F414" s="2">
        <f>DATE(WeatherData[[#This Row],[Year]],WeatherData[[#This Row],[Month]],WeatherData[[#This Row],[Day]])</f>
        <v>43877</v>
      </c>
      <c r="G414" s="2" t="str">
        <f>TEXT(WeatherData[[#This Row],[Date]], "mmmm")</f>
        <v>February</v>
      </c>
      <c r="H414" s="16">
        <v>2.8</v>
      </c>
      <c r="I414" s="16">
        <v>26.4</v>
      </c>
      <c r="J414" s="16">
        <v>16.899999999999999</v>
      </c>
      <c r="K414" s="6">
        <f t="shared" si="12"/>
        <v>9.5</v>
      </c>
      <c r="L414" s="4" t="str">
        <f t="shared" si="13"/>
        <v>Normal</v>
      </c>
    </row>
    <row r="415" spans="1:12" ht="18" customHeight="1" x14ac:dyDescent="0.3">
      <c r="A415" s="1">
        <v>86338</v>
      </c>
      <c r="B415" s="1" t="str">
        <f>VLOOKUP( WeatherData[[#This Row],[Station Number]], 'Station Numbers'!A:B,2,FALSE)</f>
        <v xml:space="preserve">Melbourne (Olympic Park) </v>
      </c>
      <c r="C415" s="1">
        <v>2020</v>
      </c>
      <c r="D415" s="1">
        <v>2</v>
      </c>
      <c r="E415" s="1">
        <v>17</v>
      </c>
      <c r="F415" s="2">
        <f>DATE(WeatherData[[#This Row],[Year]],WeatherData[[#This Row],[Month]],WeatherData[[#This Row],[Day]])</f>
        <v>43878</v>
      </c>
      <c r="G415" s="2" t="str">
        <f>TEXT(WeatherData[[#This Row],[Date]], "mmmm")</f>
        <v>February</v>
      </c>
      <c r="H415" s="16">
        <v>0</v>
      </c>
      <c r="I415" s="16">
        <v>25.6</v>
      </c>
      <c r="J415" s="16">
        <v>15.2</v>
      </c>
      <c r="K415" s="6">
        <f t="shared" si="12"/>
        <v>10.400000000000002</v>
      </c>
      <c r="L415" s="4" t="str">
        <f t="shared" si="13"/>
        <v>Normal</v>
      </c>
    </row>
    <row r="416" spans="1:12" ht="18" customHeight="1" x14ac:dyDescent="0.3">
      <c r="A416" s="1">
        <v>86338</v>
      </c>
      <c r="B416" s="1" t="str">
        <f>VLOOKUP( WeatherData[[#This Row],[Station Number]], 'Station Numbers'!A:B,2,FALSE)</f>
        <v xml:space="preserve">Melbourne (Olympic Park) </v>
      </c>
      <c r="C416" s="1">
        <v>2020</v>
      </c>
      <c r="D416" s="1">
        <v>2</v>
      </c>
      <c r="E416" s="1">
        <v>18</v>
      </c>
      <c r="F416" s="2">
        <f>DATE(WeatherData[[#This Row],[Year]],WeatherData[[#This Row],[Month]],WeatherData[[#This Row],[Day]])</f>
        <v>43879</v>
      </c>
      <c r="G416" s="2" t="str">
        <f>TEXT(WeatherData[[#This Row],[Date]], "mmmm")</f>
        <v>February</v>
      </c>
      <c r="H416" s="16">
        <v>0</v>
      </c>
      <c r="I416" s="16">
        <v>21.8</v>
      </c>
      <c r="J416" s="16">
        <v>17.600000000000001</v>
      </c>
      <c r="K416" s="6">
        <f t="shared" si="12"/>
        <v>4.1999999999999993</v>
      </c>
      <c r="L416" s="4" t="str">
        <f t="shared" si="13"/>
        <v>Normal</v>
      </c>
    </row>
    <row r="417" spans="1:12" ht="18" customHeight="1" x14ac:dyDescent="0.3">
      <c r="A417" s="1">
        <v>86338</v>
      </c>
      <c r="B417" s="1" t="str">
        <f>VLOOKUP( WeatherData[[#This Row],[Station Number]], 'Station Numbers'!A:B,2,FALSE)</f>
        <v xml:space="preserve">Melbourne (Olympic Park) </v>
      </c>
      <c r="C417" s="1">
        <v>2020</v>
      </c>
      <c r="D417" s="1">
        <v>2</v>
      </c>
      <c r="E417" s="1">
        <v>19</v>
      </c>
      <c r="F417" s="2">
        <f>DATE(WeatherData[[#This Row],[Year]],WeatherData[[#This Row],[Month]],WeatherData[[#This Row],[Day]])</f>
        <v>43880</v>
      </c>
      <c r="G417" s="2" t="str">
        <f>TEXT(WeatherData[[#This Row],[Date]], "mmmm")</f>
        <v>February</v>
      </c>
      <c r="H417" s="16">
        <v>38</v>
      </c>
      <c r="I417" s="16">
        <v>19.7</v>
      </c>
      <c r="J417" s="16">
        <v>13.3</v>
      </c>
      <c r="K417" s="6">
        <f t="shared" si="12"/>
        <v>6.3999999999999986</v>
      </c>
      <c r="L417" s="4" t="str">
        <f t="shared" si="13"/>
        <v>Heavy Rain</v>
      </c>
    </row>
    <row r="418" spans="1:12" ht="18" customHeight="1" x14ac:dyDescent="0.3">
      <c r="A418" s="1">
        <v>86338</v>
      </c>
      <c r="B418" s="1" t="str">
        <f>VLOOKUP( WeatherData[[#This Row],[Station Number]], 'Station Numbers'!A:B,2,FALSE)</f>
        <v xml:space="preserve">Melbourne (Olympic Park) </v>
      </c>
      <c r="C418" s="1">
        <v>2020</v>
      </c>
      <c r="D418" s="1">
        <v>2</v>
      </c>
      <c r="E418" s="1">
        <v>20</v>
      </c>
      <c r="F418" s="2">
        <f>DATE(WeatherData[[#This Row],[Year]],WeatherData[[#This Row],[Month]],WeatherData[[#This Row],[Day]])</f>
        <v>43881</v>
      </c>
      <c r="G418" s="2" t="str">
        <f>TEXT(WeatherData[[#This Row],[Date]], "mmmm")</f>
        <v>February</v>
      </c>
      <c r="H418" s="16">
        <v>3.2</v>
      </c>
      <c r="I418" s="16">
        <v>18.7</v>
      </c>
      <c r="J418" s="16">
        <v>14.2</v>
      </c>
      <c r="K418" s="6">
        <f t="shared" si="12"/>
        <v>4.5</v>
      </c>
      <c r="L418" s="4" t="str">
        <f t="shared" si="13"/>
        <v>Normal</v>
      </c>
    </row>
    <row r="419" spans="1:12" ht="18" customHeight="1" x14ac:dyDescent="0.3">
      <c r="A419" s="1">
        <v>86338</v>
      </c>
      <c r="B419" s="1" t="str">
        <f>VLOOKUP( WeatherData[[#This Row],[Station Number]], 'Station Numbers'!A:B,2,FALSE)</f>
        <v xml:space="preserve">Melbourne (Olympic Park) </v>
      </c>
      <c r="C419" s="1">
        <v>2020</v>
      </c>
      <c r="D419" s="1">
        <v>2</v>
      </c>
      <c r="E419" s="1">
        <v>21</v>
      </c>
      <c r="F419" s="2">
        <f>DATE(WeatherData[[#This Row],[Year]],WeatherData[[#This Row],[Month]],WeatherData[[#This Row],[Day]])</f>
        <v>43882</v>
      </c>
      <c r="G419" s="2" t="str">
        <f>TEXT(WeatherData[[#This Row],[Date]], "mmmm")</f>
        <v>February</v>
      </c>
      <c r="H419" s="16">
        <v>2.8</v>
      </c>
      <c r="I419" s="16">
        <v>19.600000000000001</v>
      </c>
      <c r="J419" s="16">
        <v>13.5</v>
      </c>
      <c r="K419" s="6">
        <f t="shared" si="12"/>
        <v>6.1000000000000014</v>
      </c>
      <c r="L419" s="4" t="str">
        <f t="shared" si="13"/>
        <v>Normal</v>
      </c>
    </row>
    <row r="420" spans="1:12" ht="18" customHeight="1" x14ac:dyDescent="0.3">
      <c r="A420" s="1">
        <v>86338</v>
      </c>
      <c r="B420" s="1" t="str">
        <f>VLOOKUP( WeatherData[[#This Row],[Station Number]], 'Station Numbers'!A:B,2,FALSE)</f>
        <v xml:space="preserve">Melbourne (Olympic Park) </v>
      </c>
      <c r="C420" s="1">
        <v>2020</v>
      </c>
      <c r="D420" s="1">
        <v>2</v>
      </c>
      <c r="E420" s="1">
        <v>22</v>
      </c>
      <c r="F420" s="2">
        <f>DATE(WeatherData[[#This Row],[Year]],WeatherData[[#This Row],[Month]],WeatherData[[#This Row],[Day]])</f>
        <v>43883</v>
      </c>
      <c r="G420" s="2" t="str">
        <f>TEXT(WeatherData[[#This Row],[Date]], "mmmm")</f>
        <v>February</v>
      </c>
      <c r="H420" s="16">
        <v>0</v>
      </c>
      <c r="I420" s="16">
        <v>21.1</v>
      </c>
      <c r="J420" s="16">
        <v>11.4</v>
      </c>
      <c r="K420" s="6">
        <f t="shared" si="12"/>
        <v>9.7000000000000011</v>
      </c>
      <c r="L420" s="4" t="str">
        <f t="shared" si="13"/>
        <v>Normal</v>
      </c>
    </row>
    <row r="421" spans="1:12" ht="18" customHeight="1" x14ac:dyDescent="0.3">
      <c r="A421" s="1">
        <v>86338</v>
      </c>
      <c r="B421" s="1" t="str">
        <f>VLOOKUP( WeatherData[[#This Row],[Station Number]], 'Station Numbers'!A:B,2,FALSE)</f>
        <v xml:space="preserve">Melbourne (Olympic Park) </v>
      </c>
      <c r="C421" s="1">
        <v>2020</v>
      </c>
      <c r="D421" s="1">
        <v>2</v>
      </c>
      <c r="E421" s="1">
        <v>23</v>
      </c>
      <c r="F421" s="2">
        <f>DATE(WeatherData[[#This Row],[Year]],WeatherData[[#This Row],[Month]],WeatherData[[#This Row],[Day]])</f>
        <v>43884</v>
      </c>
      <c r="G421" s="2" t="str">
        <f>TEXT(WeatherData[[#This Row],[Date]], "mmmm")</f>
        <v>February</v>
      </c>
      <c r="H421" s="16">
        <v>0</v>
      </c>
      <c r="I421" s="16">
        <v>34</v>
      </c>
      <c r="J421" s="16">
        <v>13.3</v>
      </c>
      <c r="K421" s="6">
        <f t="shared" si="12"/>
        <v>20.7</v>
      </c>
      <c r="L421" s="4" t="str">
        <f t="shared" si="13"/>
        <v>Normal</v>
      </c>
    </row>
    <row r="422" spans="1:12" ht="18" customHeight="1" x14ac:dyDescent="0.3">
      <c r="A422" s="1">
        <v>86338</v>
      </c>
      <c r="B422" s="1" t="str">
        <f>VLOOKUP( WeatherData[[#This Row],[Station Number]], 'Station Numbers'!A:B,2,FALSE)</f>
        <v xml:space="preserve">Melbourne (Olympic Park) </v>
      </c>
      <c r="C422" s="1">
        <v>2020</v>
      </c>
      <c r="D422" s="1">
        <v>2</v>
      </c>
      <c r="E422" s="1">
        <v>24</v>
      </c>
      <c r="F422" s="2">
        <f>DATE(WeatherData[[#This Row],[Year]],WeatherData[[#This Row],[Month]],WeatherData[[#This Row],[Day]])</f>
        <v>43885</v>
      </c>
      <c r="G422" s="2" t="str">
        <f>TEXT(WeatherData[[#This Row],[Date]], "mmmm")</f>
        <v>February</v>
      </c>
      <c r="H422" s="16">
        <v>0</v>
      </c>
      <c r="I422" s="16">
        <v>23.7</v>
      </c>
      <c r="J422" s="16">
        <v>16.8</v>
      </c>
      <c r="K422" s="6">
        <f t="shared" si="12"/>
        <v>6.8999999999999986</v>
      </c>
      <c r="L422" s="4" t="str">
        <f t="shared" si="13"/>
        <v>Normal</v>
      </c>
    </row>
    <row r="423" spans="1:12" ht="18" customHeight="1" x14ac:dyDescent="0.3">
      <c r="A423" s="1">
        <v>86338</v>
      </c>
      <c r="B423" s="1" t="str">
        <f>VLOOKUP( WeatherData[[#This Row],[Station Number]], 'Station Numbers'!A:B,2,FALSE)</f>
        <v xml:space="preserve">Melbourne (Olympic Park) </v>
      </c>
      <c r="C423" s="1">
        <v>2020</v>
      </c>
      <c r="D423" s="1">
        <v>2</v>
      </c>
      <c r="E423" s="1">
        <v>25</v>
      </c>
      <c r="F423" s="2">
        <f>DATE(WeatherData[[#This Row],[Year]],WeatherData[[#This Row],[Month]],WeatherData[[#This Row],[Day]])</f>
        <v>43886</v>
      </c>
      <c r="G423" s="2" t="str">
        <f>TEXT(WeatherData[[#This Row],[Date]], "mmmm")</f>
        <v>February</v>
      </c>
      <c r="H423" s="16">
        <v>3.6</v>
      </c>
      <c r="I423" s="16">
        <v>31.6</v>
      </c>
      <c r="J423" s="16">
        <v>18.399999999999999</v>
      </c>
      <c r="K423" s="6">
        <f t="shared" si="12"/>
        <v>13.200000000000003</v>
      </c>
      <c r="L423" s="4" t="str">
        <f t="shared" si="13"/>
        <v>Normal</v>
      </c>
    </row>
    <row r="424" spans="1:12" ht="18" customHeight="1" x14ac:dyDescent="0.3">
      <c r="A424" s="1">
        <v>86338</v>
      </c>
      <c r="B424" s="1" t="str">
        <f>VLOOKUP( WeatherData[[#This Row],[Station Number]], 'Station Numbers'!A:B,2,FALSE)</f>
        <v xml:space="preserve">Melbourne (Olympic Park) </v>
      </c>
      <c r="C424" s="1">
        <v>2020</v>
      </c>
      <c r="D424" s="1">
        <v>2</v>
      </c>
      <c r="E424" s="1">
        <v>26</v>
      </c>
      <c r="F424" s="2">
        <f>DATE(WeatherData[[#This Row],[Year]],WeatherData[[#This Row],[Month]],WeatherData[[#This Row],[Day]])</f>
        <v>43887</v>
      </c>
      <c r="G424" s="2" t="str">
        <f>TEXT(WeatherData[[#This Row],[Date]], "mmmm")</f>
        <v>February</v>
      </c>
      <c r="H424" s="16">
        <v>4</v>
      </c>
      <c r="I424" s="16">
        <v>19.2</v>
      </c>
      <c r="J424" s="16">
        <v>16.2</v>
      </c>
      <c r="K424" s="6">
        <f t="shared" si="12"/>
        <v>3</v>
      </c>
      <c r="L424" s="4" t="str">
        <f t="shared" si="13"/>
        <v>Normal</v>
      </c>
    </row>
    <row r="425" spans="1:12" ht="18" customHeight="1" x14ac:dyDescent="0.3">
      <c r="A425" s="1">
        <v>86338</v>
      </c>
      <c r="B425" s="1" t="str">
        <f>VLOOKUP( WeatherData[[#This Row],[Station Number]], 'Station Numbers'!A:B,2,FALSE)</f>
        <v xml:space="preserve">Melbourne (Olympic Park) </v>
      </c>
      <c r="C425" s="1">
        <v>2020</v>
      </c>
      <c r="D425" s="1">
        <v>2</v>
      </c>
      <c r="E425" s="1">
        <v>27</v>
      </c>
      <c r="F425" s="2">
        <f>DATE(WeatherData[[#This Row],[Year]],WeatherData[[#This Row],[Month]],WeatherData[[#This Row],[Day]])</f>
        <v>43888</v>
      </c>
      <c r="G425" s="2" t="str">
        <f>TEXT(WeatherData[[#This Row],[Date]], "mmmm")</f>
        <v>February</v>
      </c>
      <c r="H425" s="16">
        <v>0.2</v>
      </c>
      <c r="I425" s="16">
        <v>19.7</v>
      </c>
      <c r="J425" s="16">
        <v>11</v>
      </c>
      <c r="K425" s="6">
        <f t="shared" si="12"/>
        <v>8.6999999999999993</v>
      </c>
      <c r="L425" s="4" t="str">
        <f t="shared" si="13"/>
        <v>Normal</v>
      </c>
    </row>
    <row r="426" spans="1:12" ht="18" customHeight="1" x14ac:dyDescent="0.3">
      <c r="A426" s="1">
        <v>86338</v>
      </c>
      <c r="B426" s="1" t="str">
        <f>VLOOKUP( WeatherData[[#This Row],[Station Number]], 'Station Numbers'!A:B,2,FALSE)</f>
        <v xml:space="preserve">Melbourne (Olympic Park) </v>
      </c>
      <c r="C426" s="1">
        <v>2020</v>
      </c>
      <c r="D426" s="1">
        <v>2</v>
      </c>
      <c r="E426" s="1">
        <v>28</v>
      </c>
      <c r="F426" s="2">
        <f>DATE(WeatherData[[#This Row],[Year]],WeatherData[[#This Row],[Month]],WeatherData[[#This Row],[Day]])</f>
        <v>43889</v>
      </c>
      <c r="G426" s="2" t="str">
        <f>TEXT(WeatherData[[#This Row],[Date]], "mmmm")</f>
        <v>February</v>
      </c>
      <c r="H426" s="16">
        <v>0</v>
      </c>
      <c r="I426" s="16">
        <v>20.100000000000001</v>
      </c>
      <c r="J426" s="16">
        <v>13.1</v>
      </c>
      <c r="K426" s="6">
        <f t="shared" si="12"/>
        <v>7.0000000000000018</v>
      </c>
      <c r="L426" s="4" t="str">
        <f t="shared" si="13"/>
        <v>Normal</v>
      </c>
    </row>
    <row r="427" spans="1:12" ht="18" customHeight="1" x14ac:dyDescent="0.3">
      <c r="A427" s="1">
        <v>86338</v>
      </c>
      <c r="B427" s="1" t="str">
        <f>VLOOKUP( WeatherData[[#This Row],[Station Number]], 'Station Numbers'!A:B,2,FALSE)</f>
        <v xml:space="preserve">Melbourne (Olympic Park) </v>
      </c>
      <c r="C427" s="1">
        <v>2020</v>
      </c>
      <c r="D427" s="1">
        <v>2</v>
      </c>
      <c r="E427" s="1">
        <v>29</v>
      </c>
      <c r="F427" s="2">
        <f>DATE(WeatherData[[#This Row],[Year]],WeatherData[[#This Row],[Month]],WeatherData[[#This Row],[Day]])</f>
        <v>43890</v>
      </c>
      <c r="G427" s="2" t="str">
        <f>TEXT(WeatherData[[#This Row],[Date]], "mmmm")</f>
        <v>February</v>
      </c>
      <c r="H427" s="16">
        <v>0</v>
      </c>
      <c r="I427" s="16">
        <v>22.4</v>
      </c>
      <c r="J427" s="16">
        <v>14.7</v>
      </c>
      <c r="K427" s="6">
        <f t="shared" si="12"/>
        <v>7.6999999999999993</v>
      </c>
      <c r="L427" s="4" t="str">
        <f t="shared" si="13"/>
        <v>Normal</v>
      </c>
    </row>
    <row r="428" spans="1:12" ht="18" customHeight="1" x14ac:dyDescent="0.3">
      <c r="A428" s="1">
        <v>86338</v>
      </c>
      <c r="B428" s="1" t="str">
        <f>VLOOKUP( WeatherData[[#This Row],[Station Number]], 'Station Numbers'!A:B,2,FALSE)</f>
        <v xml:space="preserve">Melbourne (Olympic Park) </v>
      </c>
      <c r="C428" s="1">
        <v>2020</v>
      </c>
      <c r="D428" s="1">
        <v>3</v>
      </c>
      <c r="E428" s="1">
        <v>1</v>
      </c>
      <c r="F428" s="2">
        <f>DATE(WeatherData[[#This Row],[Year]],WeatherData[[#This Row],[Month]],WeatherData[[#This Row],[Day]])</f>
        <v>43891</v>
      </c>
      <c r="G428" s="2" t="str">
        <f>TEXT(WeatherData[[#This Row],[Date]], "mmmm")</f>
        <v>March</v>
      </c>
      <c r="H428" s="16">
        <v>0</v>
      </c>
      <c r="I428" s="16">
        <v>32.1</v>
      </c>
      <c r="J428" s="16">
        <v>13.2</v>
      </c>
      <c r="K428" s="6">
        <f t="shared" si="12"/>
        <v>18.900000000000002</v>
      </c>
      <c r="L428" s="4" t="str">
        <f t="shared" si="13"/>
        <v>Normal</v>
      </c>
    </row>
    <row r="429" spans="1:12" ht="18" customHeight="1" x14ac:dyDescent="0.3">
      <c r="A429" s="1">
        <v>86338</v>
      </c>
      <c r="B429" s="1" t="str">
        <f>VLOOKUP( WeatherData[[#This Row],[Station Number]], 'Station Numbers'!A:B,2,FALSE)</f>
        <v xml:space="preserve">Melbourne (Olympic Park) </v>
      </c>
      <c r="C429" s="1">
        <v>2020</v>
      </c>
      <c r="D429" s="1">
        <v>3</v>
      </c>
      <c r="E429" s="1">
        <v>2</v>
      </c>
      <c r="F429" s="2">
        <f>DATE(WeatherData[[#This Row],[Year]],WeatherData[[#This Row],[Month]],WeatherData[[#This Row],[Day]])</f>
        <v>43892</v>
      </c>
      <c r="G429" s="2" t="str">
        <f>TEXT(WeatherData[[#This Row],[Date]], "mmmm")</f>
        <v>March</v>
      </c>
      <c r="H429" s="16">
        <v>3</v>
      </c>
      <c r="I429" s="16">
        <v>18.399999999999999</v>
      </c>
      <c r="J429" s="16">
        <v>14.2</v>
      </c>
      <c r="K429" s="6">
        <f t="shared" si="12"/>
        <v>4.1999999999999993</v>
      </c>
      <c r="L429" s="4" t="str">
        <f t="shared" si="13"/>
        <v>Normal</v>
      </c>
    </row>
    <row r="430" spans="1:12" ht="18" customHeight="1" x14ac:dyDescent="0.3">
      <c r="A430" s="1">
        <v>86338</v>
      </c>
      <c r="B430" s="1" t="str">
        <f>VLOOKUP( WeatherData[[#This Row],[Station Number]], 'Station Numbers'!A:B,2,FALSE)</f>
        <v xml:space="preserve">Melbourne (Olympic Park) </v>
      </c>
      <c r="C430" s="1">
        <v>2020</v>
      </c>
      <c r="D430" s="1">
        <v>3</v>
      </c>
      <c r="E430" s="1">
        <v>3</v>
      </c>
      <c r="F430" s="2">
        <f>DATE(WeatherData[[#This Row],[Year]],WeatherData[[#This Row],[Month]],WeatherData[[#This Row],[Day]])</f>
        <v>43893</v>
      </c>
      <c r="G430" s="2" t="str">
        <f>TEXT(WeatherData[[#This Row],[Date]], "mmmm")</f>
        <v>March</v>
      </c>
      <c r="H430" s="16">
        <v>0</v>
      </c>
      <c r="I430" s="16">
        <v>19.5</v>
      </c>
      <c r="J430" s="16">
        <v>14.7</v>
      </c>
      <c r="K430" s="6">
        <f t="shared" si="12"/>
        <v>4.8000000000000007</v>
      </c>
      <c r="L430" s="4" t="str">
        <f t="shared" si="13"/>
        <v>Normal</v>
      </c>
    </row>
    <row r="431" spans="1:12" ht="18" customHeight="1" x14ac:dyDescent="0.3">
      <c r="A431" s="1">
        <v>86338</v>
      </c>
      <c r="B431" s="1" t="str">
        <f>VLOOKUP( WeatherData[[#This Row],[Station Number]], 'Station Numbers'!A:B,2,FALSE)</f>
        <v xml:space="preserve">Melbourne (Olympic Park) </v>
      </c>
      <c r="C431" s="1">
        <v>2020</v>
      </c>
      <c r="D431" s="1">
        <v>3</v>
      </c>
      <c r="E431" s="1">
        <v>4</v>
      </c>
      <c r="F431" s="2">
        <f>DATE(WeatherData[[#This Row],[Year]],WeatherData[[#This Row],[Month]],WeatherData[[#This Row],[Day]])</f>
        <v>43894</v>
      </c>
      <c r="G431" s="2" t="str">
        <f>TEXT(WeatherData[[#This Row],[Date]], "mmmm")</f>
        <v>March</v>
      </c>
      <c r="H431" s="16">
        <v>0</v>
      </c>
      <c r="I431" s="16">
        <v>23.5</v>
      </c>
      <c r="J431" s="16">
        <v>13.6</v>
      </c>
      <c r="K431" s="6">
        <f t="shared" si="12"/>
        <v>9.9</v>
      </c>
      <c r="L431" s="4" t="str">
        <f t="shared" si="13"/>
        <v>Normal</v>
      </c>
    </row>
    <row r="432" spans="1:12" ht="18" customHeight="1" x14ac:dyDescent="0.3">
      <c r="A432" s="1">
        <v>86338</v>
      </c>
      <c r="B432" s="1" t="str">
        <f>VLOOKUP( WeatherData[[#This Row],[Station Number]], 'Station Numbers'!A:B,2,FALSE)</f>
        <v xml:space="preserve">Melbourne (Olympic Park) </v>
      </c>
      <c r="C432" s="1">
        <v>2020</v>
      </c>
      <c r="D432" s="1">
        <v>3</v>
      </c>
      <c r="E432" s="1">
        <v>5</v>
      </c>
      <c r="F432" s="2">
        <f>DATE(WeatherData[[#This Row],[Year]],WeatherData[[#This Row],[Month]],WeatherData[[#This Row],[Day]])</f>
        <v>43895</v>
      </c>
      <c r="G432" s="2" t="str">
        <f>TEXT(WeatherData[[#This Row],[Date]], "mmmm")</f>
        <v>March</v>
      </c>
      <c r="H432" s="16">
        <v>54.6</v>
      </c>
      <c r="I432" s="16">
        <v>20.3</v>
      </c>
      <c r="J432" s="16">
        <v>15.4</v>
      </c>
      <c r="K432" s="6">
        <f t="shared" si="12"/>
        <v>4.9000000000000004</v>
      </c>
      <c r="L432" s="4" t="str">
        <f t="shared" si="13"/>
        <v>Heavy Rain</v>
      </c>
    </row>
    <row r="433" spans="1:12" ht="18" customHeight="1" x14ac:dyDescent="0.3">
      <c r="A433" s="1">
        <v>86338</v>
      </c>
      <c r="B433" s="1" t="str">
        <f>VLOOKUP( WeatherData[[#This Row],[Station Number]], 'Station Numbers'!A:B,2,FALSE)</f>
        <v xml:space="preserve">Melbourne (Olympic Park) </v>
      </c>
      <c r="C433" s="1">
        <v>2020</v>
      </c>
      <c r="D433" s="1">
        <v>3</v>
      </c>
      <c r="E433" s="1">
        <v>6</v>
      </c>
      <c r="F433" s="2">
        <f>DATE(WeatherData[[#This Row],[Year]],WeatherData[[#This Row],[Month]],WeatherData[[#This Row],[Day]])</f>
        <v>43896</v>
      </c>
      <c r="G433" s="2" t="str">
        <f>TEXT(WeatherData[[#This Row],[Date]], "mmmm")</f>
        <v>March</v>
      </c>
      <c r="H433" s="16">
        <v>7</v>
      </c>
      <c r="I433" s="16">
        <v>19</v>
      </c>
      <c r="J433" s="16">
        <v>15.9</v>
      </c>
      <c r="K433" s="6">
        <f t="shared" si="12"/>
        <v>3.0999999999999996</v>
      </c>
      <c r="L433" s="4" t="str">
        <f t="shared" si="13"/>
        <v>Normal</v>
      </c>
    </row>
    <row r="434" spans="1:12" ht="18" customHeight="1" x14ac:dyDescent="0.3">
      <c r="A434" s="1">
        <v>86338</v>
      </c>
      <c r="B434" s="1" t="str">
        <f>VLOOKUP( WeatherData[[#This Row],[Station Number]], 'Station Numbers'!A:B,2,FALSE)</f>
        <v xml:space="preserve">Melbourne (Olympic Park) </v>
      </c>
      <c r="C434" s="1">
        <v>2020</v>
      </c>
      <c r="D434" s="1">
        <v>3</v>
      </c>
      <c r="E434" s="1">
        <v>7</v>
      </c>
      <c r="F434" s="2">
        <f>DATE(WeatherData[[#This Row],[Year]],WeatherData[[#This Row],[Month]],WeatherData[[#This Row],[Day]])</f>
        <v>43897</v>
      </c>
      <c r="G434" s="2" t="str">
        <f>TEXT(WeatherData[[#This Row],[Date]], "mmmm")</f>
        <v>March</v>
      </c>
      <c r="H434" s="16">
        <v>0.2</v>
      </c>
      <c r="I434" s="16">
        <v>20</v>
      </c>
      <c r="J434" s="16">
        <v>15.4</v>
      </c>
      <c r="K434" s="6">
        <f t="shared" si="12"/>
        <v>4.5999999999999996</v>
      </c>
      <c r="L434" s="4" t="str">
        <f t="shared" si="13"/>
        <v>Normal</v>
      </c>
    </row>
    <row r="435" spans="1:12" ht="18" customHeight="1" x14ac:dyDescent="0.3">
      <c r="A435" s="1">
        <v>86338</v>
      </c>
      <c r="B435" s="1" t="str">
        <f>VLOOKUP( WeatherData[[#This Row],[Station Number]], 'Station Numbers'!A:B,2,FALSE)</f>
        <v xml:space="preserve">Melbourne (Olympic Park) </v>
      </c>
      <c r="C435" s="1">
        <v>2020</v>
      </c>
      <c r="D435" s="1">
        <v>3</v>
      </c>
      <c r="E435" s="1">
        <v>8</v>
      </c>
      <c r="F435" s="2">
        <f>DATE(WeatherData[[#This Row],[Year]],WeatherData[[#This Row],[Month]],WeatherData[[#This Row],[Day]])</f>
        <v>43898</v>
      </c>
      <c r="G435" s="2" t="str">
        <f>TEXT(WeatherData[[#This Row],[Date]], "mmmm")</f>
        <v>March</v>
      </c>
      <c r="H435" s="16">
        <v>0</v>
      </c>
      <c r="I435" s="16">
        <v>22.4</v>
      </c>
      <c r="J435" s="16">
        <v>13.9</v>
      </c>
      <c r="K435" s="6">
        <f t="shared" si="12"/>
        <v>8.4999999999999982</v>
      </c>
      <c r="L435" s="4" t="str">
        <f t="shared" si="13"/>
        <v>Normal</v>
      </c>
    </row>
    <row r="436" spans="1:12" ht="18" customHeight="1" x14ac:dyDescent="0.3">
      <c r="A436" s="1">
        <v>86338</v>
      </c>
      <c r="B436" s="1" t="str">
        <f>VLOOKUP( WeatherData[[#This Row],[Station Number]], 'Station Numbers'!A:B,2,FALSE)</f>
        <v xml:space="preserve">Melbourne (Olympic Park) </v>
      </c>
      <c r="C436" s="1">
        <v>2020</v>
      </c>
      <c r="D436" s="1">
        <v>3</v>
      </c>
      <c r="E436" s="1">
        <v>9</v>
      </c>
      <c r="F436" s="2">
        <f>DATE(WeatherData[[#This Row],[Year]],WeatherData[[#This Row],[Month]],WeatherData[[#This Row],[Day]])</f>
        <v>43899</v>
      </c>
      <c r="G436" s="2" t="str">
        <f>TEXT(WeatherData[[#This Row],[Date]], "mmmm")</f>
        <v>March</v>
      </c>
      <c r="H436" s="16">
        <v>0</v>
      </c>
      <c r="I436" s="16">
        <v>21</v>
      </c>
      <c r="J436" s="16">
        <v>12.3</v>
      </c>
      <c r="K436" s="6">
        <f t="shared" si="12"/>
        <v>8.6999999999999993</v>
      </c>
      <c r="L436" s="4" t="str">
        <f t="shared" si="13"/>
        <v>Normal</v>
      </c>
    </row>
    <row r="437" spans="1:12" ht="18" customHeight="1" x14ac:dyDescent="0.3">
      <c r="A437" s="1">
        <v>86338</v>
      </c>
      <c r="B437" s="1" t="str">
        <f>VLOOKUP( WeatherData[[#This Row],[Station Number]], 'Station Numbers'!A:B,2,FALSE)</f>
        <v xml:space="preserve">Melbourne (Olympic Park) </v>
      </c>
      <c r="C437" s="1">
        <v>2020</v>
      </c>
      <c r="D437" s="1">
        <v>3</v>
      </c>
      <c r="E437" s="1">
        <v>10</v>
      </c>
      <c r="F437" s="2">
        <f>DATE(WeatherData[[#This Row],[Year]],WeatherData[[#This Row],[Month]],WeatherData[[#This Row],[Day]])</f>
        <v>43900</v>
      </c>
      <c r="G437" s="2" t="str">
        <f>TEXT(WeatherData[[#This Row],[Date]], "mmmm")</f>
        <v>March</v>
      </c>
      <c r="H437" s="16">
        <v>0</v>
      </c>
      <c r="I437" s="16">
        <v>22.3</v>
      </c>
      <c r="J437" s="16">
        <v>10.3</v>
      </c>
      <c r="K437" s="6">
        <f t="shared" si="12"/>
        <v>12</v>
      </c>
      <c r="L437" s="4" t="str">
        <f t="shared" si="13"/>
        <v>Normal</v>
      </c>
    </row>
    <row r="438" spans="1:12" ht="18" customHeight="1" x14ac:dyDescent="0.3">
      <c r="A438" s="1">
        <v>86338</v>
      </c>
      <c r="B438" s="1" t="str">
        <f>VLOOKUP( WeatherData[[#This Row],[Station Number]], 'Station Numbers'!A:B,2,FALSE)</f>
        <v xml:space="preserve">Melbourne (Olympic Park) </v>
      </c>
      <c r="C438" s="1">
        <v>2020</v>
      </c>
      <c r="D438" s="1">
        <v>3</v>
      </c>
      <c r="E438" s="1">
        <v>11</v>
      </c>
      <c r="F438" s="2">
        <f>DATE(WeatherData[[#This Row],[Year]],WeatherData[[#This Row],[Month]],WeatherData[[#This Row],[Day]])</f>
        <v>43901</v>
      </c>
      <c r="G438" s="2" t="str">
        <f>TEXT(WeatherData[[#This Row],[Date]], "mmmm")</f>
        <v>March</v>
      </c>
      <c r="H438" s="16">
        <v>0</v>
      </c>
      <c r="I438" s="16">
        <v>29.5</v>
      </c>
      <c r="J438" s="16">
        <v>12.6</v>
      </c>
      <c r="K438" s="6">
        <f t="shared" si="12"/>
        <v>16.899999999999999</v>
      </c>
      <c r="L438" s="4" t="str">
        <f t="shared" si="13"/>
        <v>Normal</v>
      </c>
    </row>
    <row r="439" spans="1:12" ht="18" customHeight="1" x14ac:dyDescent="0.3">
      <c r="A439" s="1">
        <v>86338</v>
      </c>
      <c r="B439" s="1" t="str">
        <f>VLOOKUP( WeatherData[[#This Row],[Station Number]], 'Station Numbers'!A:B,2,FALSE)</f>
        <v xml:space="preserve">Melbourne (Olympic Park) </v>
      </c>
      <c r="C439" s="1">
        <v>2020</v>
      </c>
      <c r="D439" s="1">
        <v>3</v>
      </c>
      <c r="E439" s="1">
        <v>12</v>
      </c>
      <c r="F439" s="2">
        <f>DATE(WeatherData[[#This Row],[Year]],WeatherData[[#This Row],[Month]],WeatherData[[#This Row],[Day]])</f>
        <v>43902</v>
      </c>
      <c r="G439" s="2" t="str">
        <f>TEXT(WeatherData[[#This Row],[Date]], "mmmm")</f>
        <v>March</v>
      </c>
      <c r="H439" s="16">
        <v>0</v>
      </c>
      <c r="I439" s="16">
        <v>29.5</v>
      </c>
      <c r="J439" s="16">
        <v>16.600000000000001</v>
      </c>
      <c r="K439" s="6">
        <f t="shared" si="12"/>
        <v>12.899999999999999</v>
      </c>
      <c r="L439" s="4" t="str">
        <f t="shared" si="13"/>
        <v>Normal</v>
      </c>
    </row>
    <row r="440" spans="1:12" ht="18" customHeight="1" x14ac:dyDescent="0.3">
      <c r="A440" s="1">
        <v>86338</v>
      </c>
      <c r="B440" s="1" t="str">
        <f>VLOOKUP( WeatherData[[#This Row],[Station Number]], 'Station Numbers'!A:B,2,FALSE)</f>
        <v xml:space="preserve">Melbourne (Olympic Park) </v>
      </c>
      <c r="C440" s="1">
        <v>2020</v>
      </c>
      <c r="D440" s="1">
        <v>3</v>
      </c>
      <c r="E440" s="1">
        <v>13</v>
      </c>
      <c r="F440" s="2">
        <f>DATE(WeatherData[[#This Row],[Year]],WeatherData[[#This Row],[Month]],WeatherData[[#This Row],[Day]])</f>
        <v>43903</v>
      </c>
      <c r="G440" s="2" t="str">
        <f>TEXT(WeatherData[[#This Row],[Date]], "mmmm")</f>
        <v>March</v>
      </c>
      <c r="H440" s="16">
        <v>0</v>
      </c>
      <c r="I440" s="16">
        <v>26.8</v>
      </c>
      <c r="J440" s="16">
        <v>19.100000000000001</v>
      </c>
      <c r="K440" s="6">
        <f t="shared" si="12"/>
        <v>7.6999999999999993</v>
      </c>
      <c r="L440" s="4" t="str">
        <f t="shared" si="13"/>
        <v>Normal</v>
      </c>
    </row>
    <row r="441" spans="1:12" ht="18" customHeight="1" x14ac:dyDescent="0.3">
      <c r="A441" s="1">
        <v>86338</v>
      </c>
      <c r="B441" s="1" t="str">
        <f>VLOOKUP( WeatherData[[#This Row],[Station Number]], 'Station Numbers'!A:B,2,FALSE)</f>
        <v xml:space="preserve">Melbourne (Olympic Park) </v>
      </c>
      <c r="C441" s="1">
        <v>2020</v>
      </c>
      <c r="D441" s="1">
        <v>3</v>
      </c>
      <c r="E441" s="1">
        <v>14</v>
      </c>
      <c r="F441" s="2">
        <f>DATE(WeatherData[[#This Row],[Year]],WeatherData[[#This Row],[Month]],WeatherData[[#This Row],[Day]])</f>
        <v>43904</v>
      </c>
      <c r="G441" s="2" t="str">
        <f>TEXT(WeatherData[[#This Row],[Date]], "mmmm")</f>
        <v>March</v>
      </c>
      <c r="H441" s="16">
        <v>0.6</v>
      </c>
      <c r="I441" s="16">
        <v>17.899999999999999</v>
      </c>
      <c r="J441" s="16">
        <v>13.1</v>
      </c>
      <c r="K441" s="6">
        <f t="shared" si="12"/>
        <v>4.7999999999999989</v>
      </c>
      <c r="L441" s="4" t="str">
        <f t="shared" si="13"/>
        <v>Normal</v>
      </c>
    </row>
    <row r="442" spans="1:12" ht="18" customHeight="1" x14ac:dyDescent="0.3">
      <c r="A442" s="1">
        <v>86338</v>
      </c>
      <c r="B442" s="1" t="str">
        <f>VLOOKUP( WeatherData[[#This Row],[Station Number]], 'Station Numbers'!A:B,2,FALSE)</f>
        <v xml:space="preserve">Melbourne (Olympic Park) </v>
      </c>
      <c r="C442" s="1">
        <v>2020</v>
      </c>
      <c r="D442" s="1">
        <v>3</v>
      </c>
      <c r="E442" s="1">
        <v>15</v>
      </c>
      <c r="F442" s="2">
        <f>DATE(WeatherData[[#This Row],[Year]],WeatherData[[#This Row],[Month]],WeatherData[[#This Row],[Day]])</f>
        <v>43905</v>
      </c>
      <c r="G442" s="2" t="str">
        <f>TEXT(WeatherData[[#This Row],[Date]], "mmmm")</f>
        <v>March</v>
      </c>
      <c r="H442" s="16">
        <v>0</v>
      </c>
      <c r="I442" s="16">
        <v>18.8</v>
      </c>
      <c r="J442" s="16">
        <v>12.7</v>
      </c>
      <c r="K442" s="6">
        <f t="shared" si="12"/>
        <v>6.1000000000000014</v>
      </c>
      <c r="L442" s="4" t="str">
        <f t="shared" si="13"/>
        <v>Normal</v>
      </c>
    </row>
    <row r="443" spans="1:12" ht="18" customHeight="1" x14ac:dyDescent="0.3">
      <c r="A443" s="1">
        <v>86338</v>
      </c>
      <c r="B443" s="1" t="str">
        <f>VLOOKUP( WeatherData[[#This Row],[Station Number]], 'Station Numbers'!A:B,2,FALSE)</f>
        <v xml:space="preserve">Melbourne (Olympic Park) </v>
      </c>
      <c r="C443" s="1">
        <v>2020</v>
      </c>
      <c r="D443" s="1">
        <v>3</v>
      </c>
      <c r="E443" s="1">
        <v>16</v>
      </c>
      <c r="F443" s="2">
        <f>DATE(WeatherData[[#This Row],[Year]],WeatherData[[#This Row],[Month]],WeatherData[[#This Row],[Day]])</f>
        <v>43906</v>
      </c>
      <c r="G443" s="2" t="str">
        <f>TEXT(WeatherData[[#This Row],[Date]], "mmmm")</f>
        <v>March</v>
      </c>
      <c r="H443" s="16">
        <v>0</v>
      </c>
      <c r="I443" s="16">
        <v>26.5</v>
      </c>
      <c r="J443" s="16">
        <v>9.3000000000000007</v>
      </c>
      <c r="K443" s="6">
        <f t="shared" si="12"/>
        <v>17.2</v>
      </c>
      <c r="L443" s="4" t="str">
        <f t="shared" si="13"/>
        <v>Normal</v>
      </c>
    </row>
    <row r="444" spans="1:12" ht="18" customHeight="1" x14ac:dyDescent="0.3">
      <c r="A444" s="1">
        <v>86338</v>
      </c>
      <c r="B444" s="1" t="str">
        <f>VLOOKUP( WeatherData[[#This Row],[Station Number]], 'Station Numbers'!A:B,2,FALSE)</f>
        <v xml:space="preserve">Melbourne (Olympic Park) </v>
      </c>
      <c r="C444" s="1">
        <v>2020</v>
      </c>
      <c r="D444" s="1">
        <v>3</v>
      </c>
      <c r="E444" s="1">
        <v>17</v>
      </c>
      <c r="F444" s="2">
        <f>DATE(WeatherData[[#This Row],[Year]],WeatherData[[#This Row],[Month]],WeatherData[[#This Row],[Day]])</f>
        <v>43907</v>
      </c>
      <c r="G444" s="2" t="str">
        <f>TEXT(WeatherData[[#This Row],[Date]], "mmmm")</f>
        <v>March</v>
      </c>
      <c r="H444" s="16">
        <v>0</v>
      </c>
      <c r="I444" s="16">
        <v>28.2</v>
      </c>
      <c r="J444" s="16">
        <v>11.6</v>
      </c>
      <c r="K444" s="6">
        <f t="shared" si="12"/>
        <v>16.600000000000001</v>
      </c>
      <c r="L444" s="4" t="str">
        <f t="shared" si="13"/>
        <v>Normal</v>
      </c>
    </row>
    <row r="445" spans="1:12" ht="18" customHeight="1" x14ac:dyDescent="0.3">
      <c r="A445" s="1">
        <v>86338</v>
      </c>
      <c r="B445" s="1" t="str">
        <f>VLOOKUP( WeatherData[[#This Row],[Station Number]], 'Station Numbers'!A:B,2,FALSE)</f>
        <v xml:space="preserve">Melbourne (Olympic Park) </v>
      </c>
      <c r="C445" s="1">
        <v>2020</v>
      </c>
      <c r="D445" s="1">
        <v>3</v>
      </c>
      <c r="E445" s="1">
        <v>18</v>
      </c>
      <c r="F445" s="2">
        <f>DATE(WeatherData[[#This Row],[Year]],WeatherData[[#This Row],[Month]],WeatherData[[#This Row],[Day]])</f>
        <v>43908</v>
      </c>
      <c r="G445" s="2" t="str">
        <f>TEXT(WeatherData[[#This Row],[Date]], "mmmm")</f>
        <v>March</v>
      </c>
      <c r="H445" s="16">
        <v>0</v>
      </c>
      <c r="I445" s="16">
        <v>28.3</v>
      </c>
      <c r="J445" s="16">
        <v>17.7</v>
      </c>
      <c r="K445" s="6">
        <f t="shared" si="12"/>
        <v>10.600000000000001</v>
      </c>
      <c r="L445" s="4" t="str">
        <f t="shared" si="13"/>
        <v>Normal</v>
      </c>
    </row>
    <row r="446" spans="1:12" ht="18" customHeight="1" x14ac:dyDescent="0.3">
      <c r="A446" s="1">
        <v>86338</v>
      </c>
      <c r="B446" s="1" t="str">
        <f>VLOOKUP( WeatherData[[#This Row],[Station Number]], 'Station Numbers'!A:B,2,FALSE)</f>
        <v xml:space="preserve">Melbourne (Olympic Park) </v>
      </c>
      <c r="C446" s="1">
        <v>2020</v>
      </c>
      <c r="D446" s="1">
        <v>3</v>
      </c>
      <c r="E446" s="1">
        <v>19</v>
      </c>
      <c r="F446" s="2">
        <f>DATE(WeatherData[[#This Row],[Year]],WeatherData[[#This Row],[Month]],WeatherData[[#This Row],[Day]])</f>
        <v>43909</v>
      </c>
      <c r="G446" s="2" t="str">
        <f>TEXT(WeatherData[[#This Row],[Date]], "mmmm")</f>
        <v>March</v>
      </c>
      <c r="H446" s="16">
        <v>0</v>
      </c>
      <c r="I446" s="16">
        <v>30.4</v>
      </c>
      <c r="J446" s="16">
        <v>18.7</v>
      </c>
      <c r="K446" s="6">
        <f t="shared" si="12"/>
        <v>11.7</v>
      </c>
      <c r="L446" s="4" t="str">
        <f t="shared" si="13"/>
        <v>Normal</v>
      </c>
    </row>
    <row r="447" spans="1:12" ht="18" customHeight="1" x14ac:dyDescent="0.3">
      <c r="A447" s="1">
        <v>86338</v>
      </c>
      <c r="B447" s="1" t="str">
        <f>VLOOKUP( WeatherData[[#This Row],[Station Number]], 'Station Numbers'!A:B,2,FALSE)</f>
        <v xml:space="preserve">Melbourne (Olympic Park) </v>
      </c>
      <c r="C447" s="1">
        <v>2020</v>
      </c>
      <c r="D447" s="1">
        <v>3</v>
      </c>
      <c r="E447" s="1">
        <v>20</v>
      </c>
      <c r="F447" s="2">
        <f>DATE(WeatherData[[#This Row],[Year]],WeatherData[[#This Row],[Month]],WeatherData[[#This Row],[Day]])</f>
        <v>43910</v>
      </c>
      <c r="G447" s="2" t="str">
        <f>TEXT(WeatherData[[#This Row],[Date]], "mmmm")</f>
        <v>March</v>
      </c>
      <c r="H447" s="16">
        <v>0</v>
      </c>
      <c r="I447" s="16">
        <v>22.7</v>
      </c>
      <c r="J447" s="16">
        <v>16.100000000000001</v>
      </c>
      <c r="K447" s="6">
        <f t="shared" si="12"/>
        <v>6.5999999999999979</v>
      </c>
      <c r="L447" s="4" t="str">
        <f t="shared" si="13"/>
        <v>Normal</v>
      </c>
    </row>
    <row r="448" spans="1:12" ht="18" customHeight="1" x14ac:dyDescent="0.3">
      <c r="A448" s="1">
        <v>86338</v>
      </c>
      <c r="B448" s="1" t="str">
        <f>VLOOKUP( WeatherData[[#This Row],[Station Number]], 'Station Numbers'!A:B,2,FALSE)</f>
        <v xml:space="preserve">Melbourne (Olympic Park) </v>
      </c>
      <c r="C448" s="1">
        <v>2020</v>
      </c>
      <c r="D448" s="1">
        <v>3</v>
      </c>
      <c r="E448" s="1">
        <v>21</v>
      </c>
      <c r="F448" s="2">
        <f>DATE(WeatherData[[#This Row],[Year]],WeatherData[[#This Row],[Month]],WeatherData[[#This Row],[Day]])</f>
        <v>43911</v>
      </c>
      <c r="G448" s="2" t="str">
        <f>TEXT(WeatherData[[#This Row],[Date]], "mmmm")</f>
        <v>March</v>
      </c>
      <c r="H448" s="16">
        <v>0</v>
      </c>
      <c r="I448" s="16">
        <v>18.399999999999999</v>
      </c>
      <c r="J448" s="16">
        <v>14.6</v>
      </c>
      <c r="K448" s="6">
        <f t="shared" si="12"/>
        <v>3.7999999999999989</v>
      </c>
      <c r="L448" s="4" t="str">
        <f t="shared" si="13"/>
        <v>Normal</v>
      </c>
    </row>
    <row r="449" spans="1:12" ht="18" customHeight="1" x14ac:dyDescent="0.3">
      <c r="A449" s="1">
        <v>86338</v>
      </c>
      <c r="B449" s="1" t="str">
        <f>VLOOKUP( WeatherData[[#This Row],[Station Number]], 'Station Numbers'!A:B,2,FALSE)</f>
        <v xml:space="preserve">Melbourne (Olympic Park) </v>
      </c>
      <c r="C449" s="1">
        <v>2020</v>
      </c>
      <c r="D449" s="1">
        <v>3</v>
      </c>
      <c r="E449" s="1">
        <v>22</v>
      </c>
      <c r="F449" s="2">
        <f>DATE(WeatherData[[#This Row],[Year]],WeatherData[[#This Row],[Month]],WeatherData[[#This Row],[Day]])</f>
        <v>43912</v>
      </c>
      <c r="G449" s="2" t="str">
        <f>TEXT(WeatherData[[#This Row],[Date]], "mmmm")</f>
        <v>March</v>
      </c>
      <c r="H449" s="16">
        <v>0</v>
      </c>
      <c r="I449" s="16">
        <v>18.3</v>
      </c>
      <c r="J449" s="16">
        <v>12.1</v>
      </c>
      <c r="K449" s="6">
        <f t="shared" si="12"/>
        <v>6.2000000000000011</v>
      </c>
      <c r="L449" s="4" t="str">
        <f t="shared" si="13"/>
        <v>Normal</v>
      </c>
    </row>
    <row r="450" spans="1:12" ht="18" customHeight="1" x14ac:dyDescent="0.3">
      <c r="A450" s="1">
        <v>86338</v>
      </c>
      <c r="B450" s="1" t="str">
        <f>VLOOKUP( WeatherData[[#This Row],[Station Number]], 'Station Numbers'!A:B,2,FALSE)</f>
        <v xml:space="preserve">Melbourne (Olympic Park) </v>
      </c>
      <c r="C450" s="1">
        <v>2020</v>
      </c>
      <c r="D450" s="1">
        <v>3</v>
      </c>
      <c r="E450" s="1">
        <v>23</v>
      </c>
      <c r="F450" s="2">
        <f>DATE(WeatherData[[#This Row],[Year]],WeatherData[[#This Row],[Month]],WeatherData[[#This Row],[Day]])</f>
        <v>43913</v>
      </c>
      <c r="G450" s="2" t="str">
        <f>TEXT(WeatherData[[#This Row],[Date]], "mmmm")</f>
        <v>March</v>
      </c>
      <c r="H450" s="16">
        <v>0.4</v>
      </c>
      <c r="I450" s="16">
        <v>17.100000000000001</v>
      </c>
      <c r="J450" s="16">
        <v>12.7</v>
      </c>
      <c r="K450" s="6">
        <f t="shared" ref="K450:K513" si="14">I450-J450</f>
        <v>4.4000000000000021</v>
      </c>
      <c r="L450" s="4" t="str">
        <f t="shared" ref="L450:L513" si="15">IF(AND(I450&gt;35, H450&gt;20), "Heatwave + Rain",
   IF(I450&gt;35, "Heatwave",
   IF(H450&gt;20, "Heavy Rain",
   IF(I450&lt;10, "Cold",
   "Normal"))))</f>
        <v>Normal</v>
      </c>
    </row>
    <row r="451" spans="1:12" ht="18" customHeight="1" x14ac:dyDescent="0.3">
      <c r="A451" s="1">
        <v>86338</v>
      </c>
      <c r="B451" s="1" t="str">
        <f>VLOOKUP( WeatherData[[#This Row],[Station Number]], 'Station Numbers'!A:B,2,FALSE)</f>
        <v xml:space="preserve">Melbourne (Olympic Park) </v>
      </c>
      <c r="C451" s="1">
        <v>2020</v>
      </c>
      <c r="D451" s="1">
        <v>3</v>
      </c>
      <c r="E451" s="1">
        <v>24</v>
      </c>
      <c r="F451" s="2">
        <f>DATE(WeatherData[[#This Row],[Year]],WeatherData[[#This Row],[Month]],WeatherData[[#This Row],[Day]])</f>
        <v>43914</v>
      </c>
      <c r="G451" s="2" t="str">
        <f>TEXT(WeatherData[[#This Row],[Date]], "mmmm")</f>
        <v>March</v>
      </c>
      <c r="H451" s="16">
        <v>0</v>
      </c>
      <c r="I451" s="16">
        <v>17.899999999999999</v>
      </c>
      <c r="J451" s="16">
        <v>8.5</v>
      </c>
      <c r="K451" s="6">
        <f t="shared" si="14"/>
        <v>9.3999999999999986</v>
      </c>
      <c r="L451" s="4" t="str">
        <f t="shared" si="15"/>
        <v>Normal</v>
      </c>
    </row>
    <row r="452" spans="1:12" ht="18" customHeight="1" x14ac:dyDescent="0.3">
      <c r="A452" s="1">
        <v>86338</v>
      </c>
      <c r="B452" s="1" t="str">
        <f>VLOOKUP( WeatherData[[#This Row],[Station Number]], 'Station Numbers'!A:B,2,FALSE)</f>
        <v xml:space="preserve">Melbourne (Olympic Park) </v>
      </c>
      <c r="C452" s="1">
        <v>2020</v>
      </c>
      <c r="D452" s="1">
        <v>3</v>
      </c>
      <c r="E452" s="1">
        <v>25</v>
      </c>
      <c r="F452" s="2">
        <f>DATE(WeatherData[[#This Row],[Year]],WeatherData[[#This Row],[Month]],WeatherData[[#This Row],[Day]])</f>
        <v>43915</v>
      </c>
      <c r="G452" s="2" t="str">
        <f>TEXT(WeatherData[[#This Row],[Date]], "mmmm")</f>
        <v>March</v>
      </c>
      <c r="H452" s="16">
        <v>0</v>
      </c>
      <c r="I452" s="16">
        <v>17.5</v>
      </c>
      <c r="J452" s="16">
        <v>10.8</v>
      </c>
      <c r="K452" s="6">
        <f t="shared" si="14"/>
        <v>6.6999999999999993</v>
      </c>
      <c r="L452" s="4" t="str">
        <f t="shared" si="15"/>
        <v>Normal</v>
      </c>
    </row>
    <row r="453" spans="1:12" ht="18" customHeight="1" x14ac:dyDescent="0.3">
      <c r="A453" s="1">
        <v>86338</v>
      </c>
      <c r="B453" s="1" t="str">
        <f>VLOOKUP( WeatherData[[#This Row],[Station Number]], 'Station Numbers'!A:B,2,FALSE)</f>
        <v xml:space="preserve">Melbourne (Olympic Park) </v>
      </c>
      <c r="C453" s="1">
        <v>2020</v>
      </c>
      <c r="D453" s="1">
        <v>3</v>
      </c>
      <c r="E453" s="1">
        <v>26</v>
      </c>
      <c r="F453" s="2">
        <f>DATE(WeatherData[[#This Row],[Year]],WeatherData[[#This Row],[Month]],WeatherData[[#This Row],[Day]])</f>
        <v>43916</v>
      </c>
      <c r="G453" s="2" t="str">
        <f>TEXT(WeatherData[[#This Row],[Date]], "mmmm")</f>
        <v>March</v>
      </c>
      <c r="H453" s="16">
        <v>0</v>
      </c>
      <c r="I453" s="16">
        <v>19.8</v>
      </c>
      <c r="J453" s="16">
        <v>13.7</v>
      </c>
      <c r="K453" s="6">
        <f t="shared" si="14"/>
        <v>6.1000000000000014</v>
      </c>
      <c r="L453" s="4" t="str">
        <f t="shared" si="15"/>
        <v>Normal</v>
      </c>
    </row>
    <row r="454" spans="1:12" ht="18" customHeight="1" x14ac:dyDescent="0.3">
      <c r="A454" s="1">
        <v>86338</v>
      </c>
      <c r="B454" s="1" t="str">
        <f>VLOOKUP( WeatherData[[#This Row],[Station Number]], 'Station Numbers'!A:B,2,FALSE)</f>
        <v xml:space="preserve">Melbourne (Olympic Park) </v>
      </c>
      <c r="C454" s="1">
        <v>2020</v>
      </c>
      <c r="D454" s="1">
        <v>3</v>
      </c>
      <c r="E454" s="1">
        <v>27</v>
      </c>
      <c r="F454" s="2">
        <f>DATE(WeatherData[[#This Row],[Year]],WeatherData[[#This Row],[Month]],WeatherData[[#This Row],[Day]])</f>
        <v>43917</v>
      </c>
      <c r="G454" s="2" t="str">
        <f>TEXT(WeatherData[[#This Row],[Date]], "mmmm")</f>
        <v>March</v>
      </c>
      <c r="H454" s="16">
        <v>0</v>
      </c>
      <c r="I454" s="16">
        <v>27.6</v>
      </c>
      <c r="J454" s="16">
        <v>13.6</v>
      </c>
      <c r="K454" s="6">
        <f t="shared" si="14"/>
        <v>14.000000000000002</v>
      </c>
      <c r="L454" s="4" t="str">
        <f t="shared" si="15"/>
        <v>Normal</v>
      </c>
    </row>
    <row r="455" spans="1:12" ht="18" customHeight="1" x14ac:dyDescent="0.3">
      <c r="A455" s="1">
        <v>86338</v>
      </c>
      <c r="B455" s="1" t="str">
        <f>VLOOKUP( WeatherData[[#This Row],[Station Number]], 'Station Numbers'!A:B,2,FALSE)</f>
        <v xml:space="preserve">Melbourne (Olympic Park) </v>
      </c>
      <c r="C455" s="1">
        <v>2020</v>
      </c>
      <c r="D455" s="1">
        <v>3</v>
      </c>
      <c r="E455" s="1">
        <v>28</v>
      </c>
      <c r="F455" s="2">
        <f>DATE(WeatherData[[#This Row],[Year]],WeatherData[[#This Row],[Month]],WeatherData[[#This Row],[Day]])</f>
        <v>43918</v>
      </c>
      <c r="G455" s="2" t="str">
        <f>TEXT(WeatherData[[#This Row],[Date]], "mmmm")</f>
        <v>March</v>
      </c>
      <c r="H455" s="16">
        <v>0</v>
      </c>
      <c r="I455" s="16">
        <v>27.5</v>
      </c>
      <c r="J455" s="16">
        <v>14.8</v>
      </c>
      <c r="K455" s="6">
        <f t="shared" si="14"/>
        <v>12.7</v>
      </c>
      <c r="L455" s="4" t="str">
        <f t="shared" si="15"/>
        <v>Normal</v>
      </c>
    </row>
    <row r="456" spans="1:12" ht="18" customHeight="1" x14ac:dyDescent="0.3">
      <c r="A456" s="1">
        <v>86338</v>
      </c>
      <c r="B456" s="1" t="str">
        <f>VLOOKUP( WeatherData[[#This Row],[Station Number]], 'Station Numbers'!A:B,2,FALSE)</f>
        <v xml:space="preserve">Melbourne (Olympic Park) </v>
      </c>
      <c r="C456" s="1">
        <v>2020</v>
      </c>
      <c r="D456" s="1">
        <v>3</v>
      </c>
      <c r="E456" s="1">
        <v>29</v>
      </c>
      <c r="F456" s="2">
        <f>DATE(WeatherData[[#This Row],[Year]],WeatherData[[#This Row],[Month]],WeatherData[[#This Row],[Day]])</f>
        <v>43919</v>
      </c>
      <c r="G456" s="2" t="str">
        <f>TEXT(WeatherData[[#This Row],[Date]], "mmmm")</f>
        <v>March</v>
      </c>
      <c r="H456" s="16">
        <v>0</v>
      </c>
      <c r="I456" s="16">
        <v>26.4</v>
      </c>
      <c r="J456" s="16">
        <v>16.5</v>
      </c>
      <c r="K456" s="6">
        <f t="shared" si="14"/>
        <v>9.8999999999999986</v>
      </c>
      <c r="L456" s="4" t="str">
        <f t="shared" si="15"/>
        <v>Normal</v>
      </c>
    </row>
    <row r="457" spans="1:12" ht="18" customHeight="1" x14ac:dyDescent="0.3">
      <c r="A457" s="1">
        <v>86338</v>
      </c>
      <c r="B457" s="1" t="str">
        <f>VLOOKUP( WeatherData[[#This Row],[Station Number]], 'Station Numbers'!A:B,2,FALSE)</f>
        <v xml:space="preserve">Melbourne (Olympic Park) </v>
      </c>
      <c r="C457" s="1">
        <v>2020</v>
      </c>
      <c r="D457" s="1">
        <v>3</v>
      </c>
      <c r="E457" s="1">
        <v>30</v>
      </c>
      <c r="F457" s="2">
        <f>DATE(WeatherData[[#This Row],[Year]],WeatherData[[#This Row],[Month]],WeatherData[[#This Row],[Day]])</f>
        <v>43920</v>
      </c>
      <c r="G457" s="2" t="str">
        <f>TEXT(WeatherData[[#This Row],[Date]], "mmmm")</f>
        <v>March</v>
      </c>
      <c r="H457" s="16">
        <v>5.2</v>
      </c>
      <c r="I457" s="16">
        <v>21.7</v>
      </c>
      <c r="J457" s="16">
        <v>15.9</v>
      </c>
      <c r="K457" s="6">
        <f t="shared" si="14"/>
        <v>5.7999999999999989</v>
      </c>
      <c r="L457" s="4" t="str">
        <f t="shared" si="15"/>
        <v>Normal</v>
      </c>
    </row>
    <row r="458" spans="1:12" ht="18" customHeight="1" x14ac:dyDescent="0.3">
      <c r="A458" s="1">
        <v>86338</v>
      </c>
      <c r="B458" s="1" t="str">
        <f>VLOOKUP( WeatherData[[#This Row],[Station Number]], 'Station Numbers'!A:B,2,FALSE)</f>
        <v xml:space="preserve">Melbourne (Olympic Park) </v>
      </c>
      <c r="C458" s="1">
        <v>2020</v>
      </c>
      <c r="D458" s="1">
        <v>3</v>
      </c>
      <c r="E458" s="1">
        <v>31</v>
      </c>
      <c r="F458" s="2">
        <f>DATE(WeatherData[[#This Row],[Year]],WeatherData[[#This Row],[Month]],WeatherData[[#This Row],[Day]])</f>
        <v>43921</v>
      </c>
      <c r="G458" s="2" t="str">
        <f>TEXT(WeatherData[[#This Row],[Date]], "mmmm")</f>
        <v>March</v>
      </c>
      <c r="H458" s="16">
        <v>0</v>
      </c>
      <c r="I458" s="16">
        <v>21.4</v>
      </c>
      <c r="J458" s="16">
        <v>12.2</v>
      </c>
      <c r="K458" s="6">
        <f t="shared" si="14"/>
        <v>9.1999999999999993</v>
      </c>
      <c r="L458" s="4" t="str">
        <f t="shared" si="15"/>
        <v>Normal</v>
      </c>
    </row>
    <row r="459" spans="1:12" ht="18" customHeight="1" x14ac:dyDescent="0.3">
      <c r="A459" s="1">
        <v>86338</v>
      </c>
      <c r="B459" s="1" t="str">
        <f>VLOOKUP( WeatherData[[#This Row],[Station Number]], 'Station Numbers'!A:B,2,FALSE)</f>
        <v xml:space="preserve">Melbourne (Olympic Park) </v>
      </c>
      <c r="C459" s="1">
        <v>2020</v>
      </c>
      <c r="D459" s="1">
        <v>4</v>
      </c>
      <c r="E459" s="1">
        <v>1</v>
      </c>
      <c r="F459" s="2">
        <f>DATE(WeatherData[[#This Row],[Year]],WeatherData[[#This Row],[Month]],WeatherData[[#This Row],[Day]])</f>
        <v>43922</v>
      </c>
      <c r="G459" s="2" t="str">
        <f>TEXT(WeatherData[[#This Row],[Date]], "mmmm")</f>
        <v>April</v>
      </c>
      <c r="H459" s="16">
        <v>0</v>
      </c>
      <c r="I459" s="16">
        <v>23.1</v>
      </c>
      <c r="J459" s="16">
        <v>11</v>
      </c>
      <c r="K459" s="6">
        <f t="shared" si="14"/>
        <v>12.100000000000001</v>
      </c>
      <c r="L459" s="4" t="str">
        <f t="shared" si="15"/>
        <v>Normal</v>
      </c>
    </row>
    <row r="460" spans="1:12" ht="18" customHeight="1" x14ac:dyDescent="0.3">
      <c r="A460" s="1">
        <v>86338</v>
      </c>
      <c r="B460" s="1" t="str">
        <f>VLOOKUP( WeatherData[[#This Row],[Station Number]], 'Station Numbers'!A:B,2,FALSE)</f>
        <v xml:space="preserve">Melbourne (Olympic Park) </v>
      </c>
      <c r="C460" s="1">
        <v>2020</v>
      </c>
      <c r="D460" s="1">
        <v>4</v>
      </c>
      <c r="E460" s="1">
        <v>2</v>
      </c>
      <c r="F460" s="2">
        <f>DATE(WeatherData[[#This Row],[Year]],WeatherData[[#This Row],[Month]],WeatherData[[#This Row],[Day]])</f>
        <v>43923</v>
      </c>
      <c r="G460" s="2" t="str">
        <f>TEXT(WeatherData[[#This Row],[Date]], "mmmm")</f>
        <v>April</v>
      </c>
      <c r="H460" s="16">
        <v>23</v>
      </c>
      <c r="I460" s="16">
        <v>20.7</v>
      </c>
      <c r="J460" s="16">
        <v>12.4</v>
      </c>
      <c r="K460" s="6">
        <f t="shared" si="14"/>
        <v>8.2999999999999989</v>
      </c>
      <c r="L460" s="4" t="str">
        <f t="shared" si="15"/>
        <v>Heavy Rain</v>
      </c>
    </row>
    <row r="461" spans="1:12" ht="18" customHeight="1" x14ac:dyDescent="0.3">
      <c r="A461" s="1">
        <v>86338</v>
      </c>
      <c r="B461" s="1" t="str">
        <f>VLOOKUP( WeatherData[[#This Row],[Station Number]], 'Station Numbers'!A:B,2,FALSE)</f>
        <v xml:space="preserve">Melbourne (Olympic Park) </v>
      </c>
      <c r="C461" s="1">
        <v>2020</v>
      </c>
      <c r="D461" s="1">
        <v>4</v>
      </c>
      <c r="E461" s="1">
        <v>3</v>
      </c>
      <c r="F461" s="2">
        <f>DATE(WeatherData[[#This Row],[Year]],WeatherData[[#This Row],[Month]],WeatherData[[#This Row],[Day]])</f>
        <v>43924</v>
      </c>
      <c r="G461" s="2" t="str">
        <f>TEXT(WeatherData[[#This Row],[Date]], "mmmm")</f>
        <v>April</v>
      </c>
      <c r="H461" s="16">
        <v>15.8</v>
      </c>
      <c r="I461" s="16">
        <v>23.2</v>
      </c>
      <c r="J461" s="16">
        <v>13.7</v>
      </c>
      <c r="K461" s="6">
        <f t="shared" si="14"/>
        <v>9.5</v>
      </c>
      <c r="L461" s="4" t="str">
        <f t="shared" si="15"/>
        <v>Normal</v>
      </c>
    </row>
    <row r="462" spans="1:12" ht="18" customHeight="1" x14ac:dyDescent="0.3">
      <c r="A462" s="1">
        <v>86338</v>
      </c>
      <c r="B462" s="1" t="str">
        <f>VLOOKUP( WeatherData[[#This Row],[Station Number]], 'Station Numbers'!A:B,2,FALSE)</f>
        <v xml:space="preserve">Melbourne (Olympic Park) </v>
      </c>
      <c r="C462" s="1">
        <v>2020</v>
      </c>
      <c r="D462" s="1">
        <v>4</v>
      </c>
      <c r="E462" s="1">
        <v>4</v>
      </c>
      <c r="F462" s="2">
        <f>DATE(WeatherData[[#This Row],[Year]],WeatherData[[#This Row],[Month]],WeatherData[[#This Row],[Day]])</f>
        <v>43925</v>
      </c>
      <c r="G462" s="2" t="str">
        <f>TEXT(WeatherData[[#This Row],[Date]], "mmmm")</f>
        <v>April</v>
      </c>
      <c r="H462" s="16">
        <v>35.200000000000003</v>
      </c>
      <c r="I462" s="16">
        <v>16.600000000000001</v>
      </c>
      <c r="J462" s="16">
        <v>12.8</v>
      </c>
      <c r="K462" s="6">
        <f t="shared" si="14"/>
        <v>3.8000000000000007</v>
      </c>
      <c r="L462" s="4" t="str">
        <f t="shared" si="15"/>
        <v>Heavy Rain</v>
      </c>
    </row>
    <row r="463" spans="1:12" ht="18" customHeight="1" x14ac:dyDescent="0.3">
      <c r="A463" s="1">
        <v>86338</v>
      </c>
      <c r="B463" s="1" t="str">
        <f>VLOOKUP( WeatherData[[#This Row],[Station Number]], 'Station Numbers'!A:B,2,FALSE)</f>
        <v xml:space="preserve">Melbourne (Olympic Park) </v>
      </c>
      <c r="C463" s="1">
        <v>2020</v>
      </c>
      <c r="D463" s="1">
        <v>4</v>
      </c>
      <c r="E463" s="1">
        <v>5</v>
      </c>
      <c r="F463" s="2">
        <f>DATE(WeatherData[[#This Row],[Year]],WeatherData[[#This Row],[Month]],WeatherData[[#This Row],[Day]])</f>
        <v>43926</v>
      </c>
      <c r="G463" s="2" t="str">
        <f>TEXT(WeatherData[[#This Row],[Date]], "mmmm")</f>
        <v>April</v>
      </c>
      <c r="H463" s="16">
        <v>4.4000000000000004</v>
      </c>
      <c r="I463" s="16">
        <v>16.899999999999999</v>
      </c>
      <c r="J463" s="16">
        <v>9.5</v>
      </c>
      <c r="K463" s="6">
        <f t="shared" si="14"/>
        <v>7.3999999999999986</v>
      </c>
      <c r="L463" s="4" t="str">
        <f t="shared" si="15"/>
        <v>Normal</v>
      </c>
    </row>
    <row r="464" spans="1:12" ht="18" customHeight="1" x14ac:dyDescent="0.3">
      <c r="A464" s="1">
        <v>86338</v>
      </c>
      <c r="B464" s="1" t="str">
        <f>VLOOKUP( WeatherData[[#This Row],[Station Number]], 'Station Numbers'!A:B,2,FALSE)</f>
        <v xml:space="preserve">Melbourne (Olympic Park) </v>
      </c>
      <c r="C464" s="1">
        <v>2020</v>
      </c>
      <c r="D464" s="1">
        <v>4</v>
      </c>
      <c r="E464" s="1">
        <v>6</v>
      </c>
      <c r="F464" s="2">
        <f>DATE(WeatherData[[#This Row],[Year]],WeatherData[[#This Row],[Month]],WeatherData[[#This Row],[Day]])</f>
        <v>43927</v>
      </c>
      <c r="G464" s="2" t="str">
        <f>TEXT(WeatherData[[#This Row],[Date]], "mmmm")</f>
        <v>April</v>
      </c>
      <c r="H464" s="16">
        <v>6.2</v>
      </c>
      <c r="I464" s="16">
        <v>16.5</v>
      </c>
      <c r="J464" s="16">
        <v>10.7</v>
      </c>
      <c r="K464" s="6">
        <f t="shared" si="14"/>
        <v>5.8000000000000007</v>
      </c>
      <c r="L464" s="4" t="str">
        <f t="shared" si="15"/>
        <v>Normal</v>
      </c>
    </row>
    <row r="465" spans="1:12" ht="18" customHeight="1" x14ac:dyDescent="0.3">
      <c r="A465" s="1">
        <v>86338</v>
      </c>
      <c r="B465" s="1" t="str">
        <f>VLOOKUP( WeatherData[[#This Row],[Station Number]], 'Station Numbers'!A:B,2,FALSE)</f>
        <v xml:space="preserve">Melbourne (Olympic Park) </v>
      </c>
      <c r="C465" s="1">
        <v>2020</v>
      </c>
      <c r="D465" s="1">
        <v>4</v>
      </c>
      <c r="E465" s="1">
        <v>7</v>
      </c>
      <c r="F465" s="2">
        <f>DATE(WeatherData[[#This Row],[Year]],WeatherData[[#This Row],[Month]],WeatherData[[#This Row],[Day]])</f>
        <v>43928</v>
      </c>
      <c r="G465" s="2" t="str">
        <f>TEXT(WeatherData[[#This Row],[Date]], "mmmm")</f>
        <v>April</v>
      </c>
      <c r="H465" s="16">
        <v>1.4</v>
      </c>
      <c r="I465" s="16">
        <v>16.399999999999999</v>
      </c>
      <c r="J465" s="16">
        <v>11.9</v>
      </c>
      <c r="K465" s="6">
        <f t="shared" si="14"/>
        <v>4.4999999999999982</v>
      </c>
      <c r="L465" s="4" t="str">
        <f t="shared" si="15"/>
        <v>Normal</v>
      </c>
    </row>
    <row r="466" spans="1:12" ht="18" customHeight="1" x14ac:dyDescent="0.3">
      <c r="A466" s="1">
        <v>86338</v>
      </c>
      <c r="B466" s="1" t="str">
        <f>VLOOKUP( WeatherData[[#This Row],[Station Number]], 'Station Numbers'!A:B,2,FALSE)</f>
        <v xml:space="preserve">Melbourne (Olympic Park) </v>
      </c>
      <c r="C466" s="1">
        <v>2020</v>
      </c>
      <c r="D466" s="1">
        <v>4</v>
      </c>
      <c r="E466" s="1">
        <v>8</v>
      </c>
      <c r="F466" s="2">
        <f>DATE(WeatherData[[#This Row],[Year]],WeatherData[[#This Row],[Month]],WeatherData[[#This Row],[Day]])</f>
        <v>43929</v>
      </c>
      <c r="G466" s="2" t="str">
        <f>TEXT(WeatherData[[#This Row],[Date]], "mmmm")</f>
        <v>April</v>
      </c>
      <c r="H466" s="16">
        <v>1.2</v>
      </c>
      <c r="I466" s="16">
        <v>18.600000000000001</v>
      </c>
      <c r="J466" s="16">
        <v>11.7</v>
      </c>
      <c r="K466" s="6">
        <f t="shared" si="14"/>
        <v>6.9000000000000021</v>
      </c>
      <c r="L466" s="4" t="str">
        <f t="shared" si="15"/>
        <v>Normal</v>
      </c>
    </row>
    <row r="467" spans="1:12" ht="18" customHeight="1" x14ac:dyDescent="0.3">
      <c r="A467" s="1">
        <v>86338</v>
      </c>
      <c r="B467" s="1" t="str">
        <f>VLOOKUP( WeatherData[[#This Row],[Station Number]], 'Station Numbers'!A:B,2,FALSE)</f>
        <v xml:space="preserve">Melbourne (Olympic Park) </v>
      </c>
      <c r="C467" s="1">
        <v>2020</v>
      </c>
      <c r="D467" s="1">
        <v>4</v>
      </c>
      <c r="E467" s="1">
        <v>9</v>
      </c>
      <c r="F467" s="2">
        <f>DATE(WeatherData[[#This Row],[Year]],WeatherData[[#This Row],[Month]],WeatherData[[#This Row],[Day]])</f>
        <v>43930</v>
      </c>
      <c r="G467" s="2" t="str">
        <f>TEXT(WeatherData[[#This Row],[Date]], "mmmm")</f>
        <v>April</v>
      </c>
      <c r="H467" s="16">
        <v>0</v>
      </c>
      <c r="I467" s="16">
        <v>21.2</v>
      </c>
      <c r="J467" s="16">
        <v>8.9</v>
      </c>
      <c r="K467" s="6">
        <f t="shared" si="14"/>
        <v>12.299999999999999</v>
      </c>
      <c r="L467" s="4" t="str">
        <f t="shared" si="15"/>
        <v>Normal</v>
      </c>
    </row>
    <row r="468" spans="1:12" ht="18" customHeight="1" x14ac:dyDescent="0.3">
      <c r="A468" s="1">
        <v>86338</v>
      </c>
      <c r="B468" s="1" t="str">
        <f>VLOOKUP( WeatherData[[#This Row],[Station Number]], 'Station Numbers'!A:B,2,FALSE)</f>
        <v xml:space="preserve">Melbourne (Olympic Park) </v>
      </c>
      <c r="C468" s="1">
        <v>2020</v>
      </c>
      <c r="D468" s="1">
        <v>4</v>
      </c>
      <c r="E468" s="1">
        <v>10</v>
      </c>
      <c r="F468" s="2">
        <f>DATE(WeatherData[[#This Row],[Year]],WeatherData[[#This Row],[Month]],WeatherData[[#This Row],[Day]])</f>
        <v>43931</v>
      </c>
      <c r="G468" s="2" t="str">
        <f>TEXT(WeatherData[[#This Row],[Date]], "mmmm")</f>
        <v>April</v>
      </c>
      <c r="H468" s="16">
        <v>0.2</v>
      </c>
      <c r="I468" s="16">
        <v>22</v>
      </c>
      <c r="J468" s="16">
        <v>12.7</v>
      </c>
      <c r="K468" s="6">
        <f t="shared" si="14"/>
        <v>9.3000000000000007</v>
      </c>
      <c r="L468" s="4" t="str">
        <f t="shared" si="15"/>
        <v>Normal</v>
      </c>
    </row>
    <row r="469" spans="1:12" ht="18" customHeight="1" x14ac:dyDescent="0.3">
      <c r="A469" s="1">
        <v>86338</v>
      </c>
      <c r="B469" s="1" t="str">
        <f>VLOOKUP( WeatherData[[#This Row],[Station Number]], 'Station Numbers'!A:B,2,FALSE)</f>
        <v xml:space="preserve">Melbourne (Olympic Park) </v>
      </c>
      <c r="C469" s="1">
        <v>2020</v>
      </c>
      <c r="D469" s="1">
        <v>4</v>
      </c>
      <c r="E469" s="1">
        <v>11</v>
      </c>
      <c r="F469" s="2">
        <f>DATE(WeatherData[[#This Row],[Year]],WeatherData[[#This Row],[Month]],WeatherData[[#This Row],[Day]])</f>
        <v>43932</v>
      </c>
      <c r="G469" s="2" t="str">
        <f>TEXT(WeatherData[[#This Row],[Date]], "mmmm")</f>
        <v>April</v>
      </c>
      <c r="H469" s="16">
        <v>2.4</v>
      </c>
      <c r="I469" s="16">
        <v>15.7</v>
      </c>
      <c r="J469" s="16">
        <v>13</v>
      </c>
      <c r="K469" s="6">
        <f t="shared" si="14"/>
        <v>2.6999999999999993</v>
      </c>
      <c r="L469" s="4" t="str">
        <f t="shared" si="15"/>
        <v>Normal</v>
      </c>
    </row>
    <row r="470" spans="1:12" ht="18" customHeight="1" x14ac:dyDescent="0.3">
      <c r="A470" s="1">
        <v>86338</v>
      </c>
      <c r="B470" s="1" t="str">
        <f>VLOOKUP( WeatherData[[#This Row],[Station Number]], 'Station Numbers'!A:B,2,FALSE)</f>
        <v xml:space="preserve">Melbourne (Olympic Park) </v>
      </c>
      <c r="C470" s="1">
        <v>2020</v>
      </c>
      <c r="D470" s="1">
        <v>4</v>
      </c>
      <c r="E470" s="1">
        <v>12</v>
      </c>
      <c r="F470" s="2">
        <f>DATE(WeatherData[[#This Row],[Year]],WeatherData[[#This Row],[Month]],WeatherData[[#This Row],[Day]])</f>
        <v>43933</v>
      </c>
      <c r="G470" s="2" t="str">
        <f>TEXT(WeatherData[[#This Row],[Date]], "mmmm")</f>
        <v>April</v>
      </c>
      <c r="H470" s="16">
        <v>2.4</v>
      </c>
      <c r="I470" s="16">
        <v>15.3</v>
      </c>
      <c r="J470" s="16">
        <v>11</v>
      </c>
      <c r="K470" s="6">
        <f t="shared" si="14"/>
        <v>4.3000000000000007</v>
      </c>
      <c r="L470" s="4" t="str">
        <f t="shared" si="15"/>
        <v>Normal</v>
      </c>
    </row>
    <row r="471" spans="1:12" ht="18" customHeight="1" x14ac:dyDescent="0.3">
      <c r="A471" s="1">
        <v>86338</v>
      </c>
      <c r="B471" s="1" t="str">
        <f>VLOOKUP( WeatherData[[#This Row],[Station Number]], 'Station Numbers'!A:B,2,FALSE)</f>
        <v xml:space="preserve">Melbourne (Olympic Park) </v>
      </c>
      <c r="C471" s="1">
        <v>2020</v>
      </c>
      <c r="D471" s="1">
        <v>4</v>
      </c>
      <c r="E471" s="1">
        <v>13</v>
      </c>
      <c r="F471" s="2">
        <f>DATE(WeatherData[[#This Row],[Year]],WeatherData[[#This Row],[Month]],WeatherData[[#This Row],[Day]])</f>
        <v>43934</v>
      </c>
      <c r="G471" s="2" t="str">
        <f>TEXT(WeatherData[[#This Row],[Date]], "mmmm")</f>
        <v>April</v>
      </c>
      <c r="H471" s="16">
        <v>0</v>
      </c>
      <c r="I471" s="16">
        <v>18.3</v>
      </c>
      <c r="J471" s="16">
        <v>12.2</v>
      </c>
      <c r="K471" s="6">
        <f t="shared" si="14"/>
        <v>6.1000000000000014</v>
      </c>
      <c r="L471" s="4" t="str">
        <f t="shared" si="15"/>
        <v>Normal</v>
      </c>
    </row>
    <row r="472" spans="1:12" ht="18" customHeight="1" x14ac:dyDescent="0.3">
      <c r="A472" s="1">
        <v>86338</v>
      </c>
      <c r="B472" s="1" t="str">
        <f>VLOOKUP( WeatherData[[#This Row],[Station Number]], 'Station Numbers'!A:B,2,FALSE)</f>
        <v xml:space="preserve">Melbourne (Olympic Park) </v>
      </c>
      <c r="C472" s="1">
        <v>2020</v>
      </c>
      <c r="D472" s="1">
        <v>4</v>
      </c>
      <c r="E472" s="1">
        <v>14</v>
      </c>
      <c r="F472" s="2">
        <f>DATE(WeatherData[[#This Row],[Year]],WeatherData[[#This Row],[Month]],WeatherData[[#This Row],[Day]])</f>
        <v>43935</v>
      </c>
      <c r="G472" s="2" t="str">
        <f>TEXT(WeatherData[[#This Row],[Date]], "mmmm")</f>
        <v>April</v>
      </c>
      <c r="H472" s="16">
        <v>0.6</v>
      </c>
      <c r="I472" s="16">
        <v>23.4</v>
      </c>
      <c r="J472" s="16">
        <v>12.1</v>
      </c>
      <c r="K472" s="6">
        <f t="shared" si="14"/>
        <v>11.299999999999999</v>
      </c>
      <c r="L472" s="4" t="str">
        <f t="shared" si="15"/>
        <v>Normal</v>
      </c>
    </row>
    <row r="473" spans="1:12" ht="18" customHeight="1" x14ac:dyDescent="0.3">
      <c r="A473" s="1">
        <v>86338</v>
      </c>
      <c r="B473" s="1" t="str">
        <f>VLOOKUP( WeatherData[[#This Row],[Station Number]], 'Station Numbers'!A:B,2,FALSE)</f>
        <v xml:space="preserve">Melbourne (Olympic Park) </v>
      </c>
      <c r="C473" s="1">
        <v>2020</v>
      </c>
      <c r="D473" s="1">
        <v>4</v>
      </c>
      <c r="E473" s="1">
        <v>15</v>
      </c>
      <c r="F473" s="2">
        <f>DATE(WeatherData[[#This Row],[Year]],WeatherData[[#This Row],[Month]],WeatherData[[#This Row],[Day]])</f>
        <v>43936</v>
      </c>
      <c r="G473" s="2" t="str">
        <f>TEXT(WeatherData[[#This Row],[Date]], "mmmm")</f>
        <v>April</v>
      </c>
      <c r="H473" s="16">
        <v>0</v>
      </c>
      <c r="I473" s="16">
        <v>23.5</v>
      </c>
      <c r="J473" s="16">
        <v>15.6</v>
      </c>
      <c r="K473" s="6">
        <f t="shared" si="14"/>
        <v>7.9</v>
      </c>
      <c r="L473" s="4" t="str">
        <f t="shared" si="15"/>
        <v>Normal</v>
      </c>
    </row>
    <row r="474" spans="1:12" ht="18" customHeight="1" x14ac:dyDescent="0.3">
      <c r="A474" s="1">
        <v>86338</v>
      </c>
      <c r="B474" s="1" t="str">
        <f>VLOOKUP( WeatherData[[#This Row],[Station Number]], 'Station Numbers'!A:B,2,FALSE)</f>
        <v xml:space="preserve">Melbourne (Olympic Park) </v>
      </c>
      <c r="C474" s="1">
        <v>2020</v>
      </c>
      <c r="D474" s="1">
        <v>4</v>
      </c>
      <c r="E474" s="1">
        <v>16</v>
      </c>
      <c r="F474" s="2">
        <f>DATE(WeatherData[[#This Row],[Year]],WeatherData[[#This Row],[Month]],WeatherData[[#This Row],[Day]])</f>
        <v>43937</v>
      </c>
      <c r="G474" s="2" t="str">
        <f>TEXT(WeatherData[[#This Row],[Date]], "mmmm")</f>
        <v>April</v>
      </c>
      <c r="H474" s="16">
        <v>0.2</v>
      </c>
      <c r="I474" s="16">
        <v>21.5</v>
      </c>
      <c r="J474" s="16">
        <v>15.4</v>
      </c>
      <c r="K474" s="6">
        <f t="shared" si="14"/>
        <v>6.1</v>
      </c>
      <c r="L474" s="4" t="str">
        <f t="shared" si="15"/>
        <v>Normal</v>
      </c>
    </row>
    <row r="475" spans="1:12" ht="18" customHeight="1" x14ac:dyDescent="0.3">
      <c r="A475" s="1">
        <v>86338</v>
      </c>
      <c r="B475" s="1" t="str">
        <f>VLOOKUP( WeatherData[[#This Row],[Station Number]], 'Station Numbers'!A:B,2,FALSE)</f>
        <v xml:space="preserve">Melbourne (Olympic Park) </v>
      </c>
      <c r="C475" s="1">
        <v>2020</v>
      </c>
      <c r="D475" s="1">
        <v>4</v>
      </c>
      <c r="E475" s="1">
        <v>17</v>
      </c>
      <c r="F475" s="2">
        <f>DATE(WeatherData[[#This Row],[Year]],WeatherData[[#This Row],[Month]],WeatherData[[#This Row],[Day]])</f>
        <v>43938</v>
      </c>
      <c r="G475" s="2" t="str">
        <f>TEXT(WeatherData[[#This Row],[Date]], "mmmm")</f>
        <v>April</v>
      </c>
      <c r="H475" s="16">
        <v>0</v>
      </c>
      <c r="I475" s="16">
        <v>18.399999999999999</v>
      </c>
      <c r="J475" s="16">
        <v>11.4</v>
      </c>
      <c r="K475" s="6">
        <f t="shared" si="14"/>
        <v>6.9999999999999982</v>
      </c>
      <c r="L475" s="4" t="str">
        <f t="shared" si="15"/>
        <v>Normal</v>
      </c>
    </row>
    <row r="476" spans="1:12" ht="18" customHeight="1" x14ac:dyDescent="0.3">
      <c r="A476" s="1">
        <v>86338</v>
      </c>
      <c r="B476" s="1" t="str">
        <f>VLOOKUP( WeatherData[[#This Row],[Station Number]], 'Station Numbers'!A:B,2,FALSE)</f>
        <v xml:space="preserve">Melbourne (Olympic Park) </v>
      </c>
      <c r="C476" s="1">
        <v>2020</v>
      </c>
      <c r="D476" s="1">
        <v>4</v>
      </c>
      <c r="E476" s="1">
        <v>18</v>
      </c>
      <c r="F476" s="2">
        <f>DATE(WeatherData[[#This Row],[Year]],WeatherData[[#This Row],[Month]],WeatherData[[#This Row],[Day]])</f>
        <v>43939</v>
      </c>
      <c r="G476" s="2" t="str">
        <f>TEXT(WeatherData[[#This Row],[Date]], "mmmm")</f>
        <v>April</v>
      </c>
      <c r="H476" s="16">
        <v>0</v>
      </c>
      <c r="I476" s="16">
        <v>16.399999999999999</v>
      </c>
      <c r="J476" s="16">
        <v>12.9</v>
      </c>
      <c r="K476" s="6">
        <f t="shared" si="14"/>
        <v>3.4999999999999982</v>
      </c>
      <c r="L476" s="4" t="str">
        <f t="shared" si="15"/>
        <v>Normal</v>
      </c>
    </row>
    <row r="477" spans="1:12" ht="18" customHeight="1" x14ac:dyDescent="0.3">
      <c r="A477" s="1">
        <v>86338</v>
      </c>
      <c r="B477" s="1" t="str">
        <f>VLOOKUP( WeatherData[[#This Row],[Station Number]], 'Station Numbers'!A:B,2,FALSE)</f>
        <v xml:space="preserve">Melbourne (Olympic Park) </v>
      </c>
      <c r="C477" s="1">
        <v>2020</v>
      </c>
      <c r="D477" s="1">
        <v>4</v>
      </c>
      <c r="E477" s="1">
        <v>19</v>
      </c>
      <c r="F477" s="2">
        <f>DATE(WeatherData[[#This Row],[Year]],WeatherData[[#This Row],[Month]],WeatherData[[#This Row],[Day]])</f>
        <v>43940</v>
      </c>
      <c r="G477" s="2" t="str">
        <f>TEXT(WeatherData[[#This Row],[Date]], "mmmm")</f>
        <v>April</v>
      </c>
      <c r="H477" s="16">
        <v>0</v>
      </c>
      <c r="I477" s="16">
        <v>19.399999999999999</v>
      </c>
      <c r="J477" s="16">
        <v>11.2</v>
      </c>
      <c r="K477" s="6">
        <f t="shared" si="14"/>
        <v>8.1999999999999993</v>
      </c>
      <c r="L477" s="4" t="str">
        <f t="shared" si="15"/>
        <v>Normal</v>
      </c>
    </row>
    <row r="478" spans="1:12" ht="18" customHeight="1" x14ac:dyDescent="0.3">
      <c r="A478" s="1">
        <v>86338</v>
      </c>
      <c r="B478" s="1" t="str">
        <f>VLOOKUP( WeatherData[[#This Row],[Station Number]], 'Station Numbers'!A:B,2,FALSE)</f>
        <v xml:space="preserve">Melbourne (Olympic Park) </v>
      </c>
      <c r="C478" s="1">
        <v>2020</v>
      </c>
      <c r="D478" s="1">
        <v>4</v>
      </c>
      <c r="E478" s="1">
        <v>20</v>
      </c>
      <c r="F478" s="2">
        <f>DATE(WeatherData[[#This Row],[Year]],WeatherData[[#This Row],[Month]],WeatherData[[#This Row],[Day]])</f>
        <v>43941</v>
      </c>
      <c r="G478" s="2" t="str">
        <f>TEXT(WeatherData[[#This Row],[Date]], "mmmm")</f>
        <v>April</v>
      </c>
      <c r="H478" s="16">
        <v>3.4</v>
      </c>
      <c r="I478" s="16">
        <v>20.8</v>
      </c>
      <c r="J478" s="16">
        <v>12</v>
      </c>
      <c r="K478" s="6">
        <f t="shared" si="14"/>
        <v>8.8000000000000007</v>
      </c>
      <c r="L478" s="4" t="str">
        <f t="shared" si="15"/>
        <v>Normal</v>
      </c>
    </row>
    <row r="479" spans="1:12" ht="18" customHeight="1" x14ac:dyDescent="0.3">
      <c r="A479" s="1">
        <v>86338</v>
      </c>
      <c r="B479" s="1" t="str">
        <f>VLOOKUP( WeatherData[[#This Row],[Station Number]], 'Station Numbers'!A:B,2,FALSE)</f>
        <v xml:space="preserve">Melbourne (Olympic Park) </v>
      </c>
      <c r="C479" s="1">
        <v>2020</v>
      </c>
      <c r="D479" s="1">
        <v>4</v>
      </c>
      <c r="E479" s="1">
        <v>21</v>
      </c>
      <c r="F479" s="2">
        <f>DATE(WeatherData[[#This Row],[Year]],WeatherData[[#This Row],[Month]],WeatherData[[#This Row],[Day]])</f>
        <v>43942</v>
      </c>
      <c r="G479" s="2" t="str">
        <f>TEXT(WeatherData[[#This Row],[Date]], "mmmm")</f>
        <v>April</v>
      </c>
      <c r="H479" s="16">
        <v>0</v>
      </c>
      <c r="I479" s="16">
        <v>19.600000000000001</v>
      </c>
      <c r="J479" s="16">
        <v>8.5</v>
      </c>
      <c r="K479" s="6">
        <f t="shared" si="14"/>
        <v>11.100000000000001</v>
      </c>
      <c r="L479" s="4" t="str">
        <f t="shared" si="15"/>
        <v>Normal</v>
      </c>
    </row>
    <row r="480" spans="1:12" ht="18" customHeight="1" x14ac:dyDescent="0.3">
      <c r="A480" s="1">
        <v>86338</v>
      </c>
      <c r="B480" s="1" t="str">
        <f>VLOOKUP( WeatherData[[#This Row],[Station Number]], 'Station Numbers'!A:B,2,FALSE)</f>
        <v xml:space="preserve">Melbourne (Olympic Park) </v>
      </c>
      <c r="C480" s="1">
        <v>2020</v>
      </c>
      <c r="D480" s="1">
        <v>4</v>
      </c>
      <c r="E480" s="1">
        <v>22</v>
      </c>
      <c r="F480" s="2">
        <f>DATE(WeatherData[[#This Row],[Year]],WeatherData[[#This Row],[Month]],WeatherData[[#This Row],[Day]])</f>
        <v>43943</v>
      </c>
      <c r="G480" s="2" t="str">
        <f>TEXT(WeatherData[[#This Row],[Date]], "mmmm")</f>
        <v>April</v>
      </c>
      <c r="H480" s="16">
        <v>0</v>
      </c>
      <c r="I480" s="16">
        <v>18.2</v>
      </c>
      <c r="J480" s="16">
        <v>12.8</v>
      </c>
      <c r="K480" s="6">
        <f t="shared" si="14"/>
        <v>5.3999999999999986</v>
      </c>
      <c r="L480" s="4" t="str">
        <f t="shared" si="15"/>
        <v>Normal</v>
      </c>
    </row>
    <row r="481" spans="1:12" ht="18" customHeight="1" x14ac:dyDescent="0.3">
      <c r="A481" s="1">
        <v>86338</v>
      </c>
      <c r="B481" s="1" t="str">
        <f>VLOOKUP( WeatherData[[#This Row],[Station Number]], 'Station Numbers'!A:B,2,FALSE)</f>
        <v xml:space="preserve">Melbourne (Olympic Park) </v>
      </c>
      <c r="C481" s="1">
        <v>2020</v>
      </c>
      <c r="D481" s="1">
        <v>4</v>
      </c>
      <c r="E481" s="1">
        <v>23</v>
      </c>
      <c r="F481" s="2">
        <f>DATE(WeatherData[[#This Row],[Year]],WeatherData[[#This Row],[Month]],WeatherData[[#This Row],[Day]])</f>
        <v>43944</v>
      </c>
      <c r="G481" s="2" t="str">
        <f>TEXT(WeatherData[[#This Row],[Date]], "mmmm")</f>
        <v>April</v>
      </c>
      <c r="H481" s="16">
        <v>0</v>
      </c>
      <c r="I481" s="16">
        <v>19.7</v>
      </c>
      <c r="J481" s="16">
        <v>9.6</v>
      </c>
      <c r="K481" s="6">
        <f t="shared" si="14"/>
        <v>10.1</v>
      </c>
      <c r="L481" s="4" t="str">
        <f t="shared" si="15"/>
        <v>Normal</v>
      </c>
    </row>
    <row r="482" spans="1:12" ht="18" customHeight="1" x14ac:dyDescent="0.3">
      <c r="A482" s="1">
        <v>86338</v>
      </c>
      <c r="B482" s="1" t="str">
        <f>VLOOKUP( WeatherData[[#This Row],[Station Number]], 'Station Numbers'!A:B,2,FALSE)</f>
        <v xml:space="preserve">Melbourne (Olympic Park) </v>
      </c>
      <c r="C482" s="1">
        <v>2020</v>
      </c>
      <c r="D482" s="1">
        <v>4</v>
      </c>
      <c r="E482" s="1">
        <v>24</v>
      </c>
      <c r="F482" s="2">
        <f>DATE(WeatherData[[#This Row],[Year]],WeatherData[[#This Row],[Month]],WeatherData[[#This Row],[Day]])</f>
        <v>43945</v>
      </c>
      <c r="G482" s="2" t="str">
        <f>TEXT(WeatherData[[#This Row],[Date]], "mmmm")</f>
        <v>April</v>
      </c>
      <c r="H482" s="16">
        <v>0.4</v>
      </c>
      <c r="I482" s="16">
        <v>22.3</v>
      </c>
      <c r="J482" s="16">
        <v>15.1</v>
      </c>
      <c r="K482" s="6">
        <f t="shared" si="14"/>
        <v>7.2000000000000011</v>
      </c>
      <c r="L482" s="4" t="str">
        <f t="shared" si="15"/>
        <v>Normal</v>
      </c>
    </row>
    <row r="483" spans="1:12" ht="18" customHeight="1" x14ac:dyDescent="0.3">
      <c r="A483" s="1">
        <v>86338</v>
      </c>
      <c r="B483" s="1" t="str">
        <f>VLOOKUP( WeatherData[[#This Row],[Station Number]], 'Station Numbers'!A:B,2,FALSE)</f>
        <v xml:space="preserve">Melbourne (Olympic Park) </v>
      </c>
      <c r="C483" s="1">
        <v>2020</v>
      </c>
      <c r="D483" s="1">
        <v>4</v>
      </c>
      <c r="E483" s="1">
        <v>25</v>
      </c>
      <c r="F483" s="2">
        <f>DATE(WeatherData[[#This Row],[Year]],WeatherData[[#This Row],[Month]],WeatherData[[#This Row],[Day]])</f>
        <v>43946</v>
      </c>
      <c r="G483" s="2" t="str">
        <f>TEXT(WeatherData[[#This Row],[Date]], "mmmm")</f>
        <v>April</v>
      </c>
      <c r="H483" s="16">
        <v>0</v>
      </c>
      <c r="I483" s="16">
        <v>21.7</v>
      </c>
      <c r="J483" s="16">
        <v>10.5</v>
      </c>
      <c r="K483" s="6">
        <f t="shared" si="14"/>
        <v>11.2</v>
      </c>
      <c r="L483" s="4" t="str">
        <f t="shared" si="15"/>
        <v>Normal</v>
      </c>
    </row>
    <row r="484" spans="1:12" ht="18" customHeight="1" x14ac:dyDescent="0.3">
      <c r="A484" s="1">
        <v>86338</v>
      </c>
      <c r="B484" s="1" t="str">
        <f>VLOOKUP( WeatherData[[#This Row],[Station Number]], 'Station Numbers'!A:B,2,FALSE)</f>
        <v xml:space="preserve">Melbourne (Olympic Park) </v>
      </c>
      <c r="C484" s="1">
        <v>2020</v>
      </c>
      <c r="D484" s="1">
        <v>4</v>
      </c>
      <c r="E484" s="1">
        <v>26</v>
      </c>
      <c r="F484" s="2">
        <f>DATE(WeatherData[[#This Row],[Year]],WeatherData[[#This Row],[Month]],WeatherData[[#This Row],[Day]])</f>
        <v>43947</v>
      </c>
      <c r="G484" s="2" t="str">
        <f>TEXT(WeatherData[[#This Row],[Date]], "mmmm")</f>
        <v>April</v>
      </c>
      <c r="H484" s="16">
        <v>14</v>
      </c>
      <c r="I484" s="16">
        <v>17.7</v>
      </c>
      <c r="J484" s="16">
        <v>15.4</v>
      </c>
      <c r="K484" s="6">
        <f t="shared" si="14"/>
        <v>2.2999999999999989</v>
      </c>
      <c r="L484" s="4" t="str">
        <f t="shared" si="15"/>
        <v>Normal</v>
      </c>
    </row>
    <row r="485" spans="1:12" ht="18" customHeight="1" x14ac:dyDescent="0.3">
      <c r="A485" s="1">
        <v>86338</v>
      </c>
      <c r="B485" s="1" t="str">
        <f>VLOOKUP( WeatherData[[#This Row],[Station Number]], 'Station Numbers'!A:B,2,FALSE)</f>
        <v xml:space="preserve">Melbourne (Olympic Park) </v>
      </c>
      <c r="C485" s="1">
        <v>2020</v>
      </c>
      <c r="D485" s="1">
        <v>4</v>
      </c>
      <c r="E485" s="1">
        <v>27</v>
      </c>
      <c r="F485" s="2">
        <f>DATE(WeatherData[[#This Row],[Year]],WeatherData[[#This Row],[Month]],WeatherData[[#This Row],[Day]])</f>
        <v>43948</v>
      </c>
      <c r="G485" s="2" t="str">
        <f>TEXT(WeatherData[[#This Row],[Date]], "mmmm")</f>
        <v>April</v>
      </c>
      <c r="H485" s="16">
        <v>0.6</v>
      </c>
      <c r="I485" s="16">
        <v>18.100000000000001</v>
      </c>
      <c r="J485" s="16">
        <v>8.1</v>
      </c>
      <c r="K485" s="6">
        <f t="shared" si="14"/>
        <v>10.000000000000002</v>
      </c>
      <c r="L485" s="4" t="str">
        <f t="shared" si="15"/>
        <v>Normal</v>
      </c>
    </row>
    <row r="486" spans="1:12" ht="18" customHeight="1" x14ac:dyDescent="0.3">
      <c r="A486" s="1">
        <v>86338</v>
      </c>
      <c r="B486" s="1" t="str">
        <f>VLOOKUP( WeatherData[[#This Row],[Station Number]], 'Station Numbers'!A:B,2,FALSE)</f>
        <v xml:space="preserve">Melbourne (Olympic Park) </v>
      </c>
      <c r="C486" s="1">
        <v>2020</v>
      </c>
      <c r="D486" s="1">
        <v>4</v>
      </c>
      <c r="E486" s="1">
        <v>28</v>
      </c>
      <c r="F486" s="2">
        <f>DATE(WeatherData[[#This Row],[Year]],WeatherData[[#This Row],[Month]],WeatherData[[#This Row],[Day]])</f>
        <v>43949</v>
      </c>
      <c r="G486" s="2" t="str">
        <f>TEXT(WeatherData[[#This Row],[Date]], "mmmm")</f>
        <v>April</v>
      </c>
      <c r="H486" s="16">
        <v>0</v>
      </c>
      <c r="I486" s="16">
        <v>18.899999999999999</v>
      </c>
      <c r="J486" s="16">
        <v>7.1</v>
      </c>
      <c r="K486" s="6">
        <f t="shared" si="14"/>
        <v>11.799999999999999</v>
      </c>
      <c r="L486" s="4" t="str">
        <f t="shared" si="15"/>
        <v>Normal</v>
      </c>
    </row>
    <row r="487" spans="1:12" ht="18" customHeight="1" x14ac:dyDescent="0.3">
      <c r="A487" s="1">
        <v>86338</v>
      </c>
      <c r="B487" s="1" t="str">
        <f>VLOOKUP( WeatherData[[#This Row],[Station Number]], 'Station Numbers'!A:B,2,FALSE)</f>
        <v xml:space="preserve">Melbourne (Olympic Park) </v>
      </c>
      <c r="C487" s="1">
        <v>2020</v>
      </c>
      <c r="D487" s="1">
        <v>4</v>
      </c>
      <c r="E487" s="1">
        <v>29</v>
      </c>
      <c r="F487" s="2">
        <f>DATE(WeatherData[[#This Row],[Year]],WeatherData[[#This Row],[Month]],WeatherData[[#This Row],[Day]])</f>
        <v>43950</v>
      </c>
      <c r="G487" s="2" t="str">
        <f>TEXT(WeatherData[[#This Row],[Date]], "mmmm")</f>
        <v>April</v>
      </c>
      <c r="H487" s="16">
        <v>3.4</v>
      </c>
      <c r="I487" s="16">
        <v>19.8</v>
      </c>
      <c r="J487" s="16">
        <v>11.2</v>
      </c>
      <c r="K487" s="6">
        <f t="shared" si="14"/>
        <v>8.6000000000000014</v>
      </c>
      <c r="L487" s="4" t="str">
        <f t="shared" si="15"/>
        <v>Normal</v>
      </c>
    </row>
    <row r="488" spans="1:12" ht="18" customHeight="1" x14ac:dyDescent="0.3">
      <c r="A488" s="1">
        <v>86338</v>
      </c>
      <c r="B488" s="1" t="str">
        <f>VLOOKUP( WeatherData[[#This Row],[Station Number]], 'Station Numbers'!A:B,2,FALSE)</f>
        <v xml:space="preserve">Melbourne (Olympic Park) </v>
      </c>
      <c r="C488" s="1">
        <v>2020</v>
      </c>
      <c r="D488" s="1">
        <v>4</v>
      </c>
      <c r="E488" s="1">
        <v>30</v>
      </c>
      <c r="F488" s="2">
        <f>DATE(WeatherData[[#This Row],[Year]],WeatherData[[#This Row],[Month]],WeatherData[[#This Row],[Day]])</f>
        <v>43951</v>
      </c>
      <c r="G488" s="2" t="str">
        <f>TEXT(WeatherData[[#This Row],[Date]], "mmmm")</f>
        <v>April</v>
      </c>
      <c r="H488" s="16">
        <v>23.6</v>
      </c>
      <c r="I488" s="16">
        <v>15.5</v>
      </c>
      <c r="J488" s="16">
        <v>8.9</v>
      </c>
      <c r="K488" s="6">
        <f t="shared" si="14"/>
        <v>6.6</v>
      </c>
      <c r="L488" s="4" t="str">
        <f t="shared" si="15"/>
        <v>Heavy Rain</v>
      </c>
    </row>
    <row r="489" spans="1:12" ht="18" customHeight="1" x14ac:dyDescent="0.3">
      <c r="A489" s="1">
        <v>86338</v>
      </c>
      <c r="B489" s="1" t="str">
        <f>VLOOKUP( WeatherData[[#This Row],[Station Number]], 'Station Numbers'!A:B,2,FALSE)</f>
        <v xml:space="preserve">Melbourne (Olympic Park) </v>
      </c>
      <c r="C489" s="1">
        <v>2020</v>
      </c>
      <c r="D489" s="1">
        <v>5</v>
      </c>
      <c r="E489" s="1">
        <v>1</v>
      </c>
      <c r="F489" s="2">
        <f>DATE(WeatherData[[#This Row],[Year]],WeatherData[[#This Row],[Month]],WeatherData[[#This Row],[Day]])</f>
        <v>43952</v>
      </c>
      <c r="G489" s="2" t="str">
        <f>TEXT(WeatherData[[#This Row],[Date]], "mmmm")</f>
        <v>May</v>
      </c>
      <c r="H489" s="16">
        <v>8</v>
      </c>
      <c r="I489" s="16">
        <v>13</v>
      </c>
      <c r="J489" s="16">
        <v>7.6</v>
      </c>
      <c r="K489" s="6">
        <f t="shared" si="14"/>
        <v>5.4</v>
      </c>
      <c r="L489" s="4" t="str">
        <f t="shared" si="15"/>
        <v>Normal</v>
      </c>
    </row>
    <row r="490" spans="1:12" ht="18" customHeight="1" x14ac:dyDescent="0.3">
      <c r="A490" s="1">
        <v>86338</v>
      </c>
      <c r="B490" s="1" t="str">
        <f>VLOOKUP( WeatherData[[#This Row],[Station Number]], 'Station Numbers'!A:B,2,FALSE)</f>
        <v xml:space="preserve">Melbourne (Olympic Park) </v>
      </c>
      <c r="C490" s="1">
        <v>2020</v>
      </c>
      <c r="D490" s="1">
        <v>5</v>
      </c>
      <c r="E490" s="1">
        <v>2</v>
      </c>
      <c r="F490" s="2">
        <f>DATE(WeatherData[[#This Row],[Year]],WeatherData[[#This Row],[Month]],WeatherData[[#This Row],[Day]])</f>
        <v>43953</v>
      </c>
      <c r="G490" s="2" t="str">
        <f>TEXT(WeatherData[[#This Row],[Date]], "mmmm")</f>
        <v>May</v>
      </c>
      <c r="H490" s="16">
        <v>1.4</v>
      </c>
      <c r="I490" s="16">
        <v>14.2</v>
      </c>
      <c r="J490" s="16">
        <v>8.3000000000000007</v>
      </c>
      <c r="K490" s="6">
        <f t="shared" si="14"/>
        <v>5.8999999999999986</v>
      </c>
      <c r="L490" s="4" t="str">
        <f t="shared" si="15"/>
        <v>Normal</v>
      </c>
    </row>
    <row r="491" spans="1:12" ht="18" customHeight="1" x14ac:dyDescent="0.3">
      <c r="A491" s="1">
        <v>86338</v>
      </c>
      <c r="B491" s="1" t="str">
        <f>VLOOKUP( WeatherData[[#This Row],[Station Number]], 'Station Numbers'!A:B,2,FALSE)</f>
        <v xml:space="preserve">Melbourne (Olympic Park) </v>
      </c>
      <c r="C491" s="1">
        <v>2020</v>
      </c>
      <c r="D491" s="1">
        <v>5</v>
      </c>
      <c r="E491" s="1">
        <v>3</v>
      </c>
      <c r="F491" s="2">
        <f>DATE(WeatherData[[#This Row],[Year]],WeatherData[[#This Row],[Month]],WeatherData[[#This Row],[Day]])</f>
        <v>43954</v>
      </c>
      <c r="G491" s="2" t="str">
        <f>TEXT(WeatherData[[#This Row],[Date]], "mmmm")</f>
        <v>May</v>
      </c>
      <c r="H491" s="16">
        <v>1.8</v>
      </c>
      <c r="I491" s="16">
        <v>15</v>
      </c>
      <c r="J491" s="16">
        <v>9.8000000000000007</v>
      </c>
      <c r="K491" s="6">
        <f t="shared" si="14"/>
        <v>5.1999999999999993</v>
      </c>
      <c r="L491" s="4" t="str">
        <f t="shared" si="15"/>
        <v>Normal</v>
      </c>
    </row>
    <row r="492" spans="1:12" ht="18" customHeight="1" x14ac:dyDescent="0.3">
      <c r="A492" s="1">
        <v>86338</v>
      </c>
      <c r="B492" s="1" t="str">
        <f>VLOOKUP( WeatherData[[#This Row],[Station Number]], 'Station Numbers'!A:B,2,FALSE)</f>
        <v xml:space="preserve">Melbourne (Olympic Park) </v>
      </c>
      <c r="C492" s="1">
        <v>2020</v>
      </c>
      <c r="D492" s="1">
        <v>5</v>
      </c>
      <c r="E492" s="1">
        <v>4</v>
      </c>
      <c r="F492" s="2">
        <f>DATE(WeatherData[[#This Row],[Year]],WeatherData[[#This Row],[Month]],WeatherData[[#This Row],[Day]])</f>
        <v>43955</v>
      </c>
      <c r="G492" s="2" t="str">
        <f>TEXT(WeatherData[[#This Row],[Date]], "mmmm")</f>
        <v>May</v>
      </c>
      <c r="H492" s="16">
        <v>0.2</v>
      </c>
      <c r="I492" s="16">
        <v>14.8</v>
      </c>
      <c r="J492" s="16">
        <v>9.4</v>
      </c>
      <c r="K492" s="6">
        <f t="shared" si="14"/>
        <v>5.4</v>
      </c>
      <c r="L492" s="4" t="str">
        <f t="shared" si="15"/>
        <v>Normal</v>
      </c>
    </row>
    <row r="493" spans="1:12" ht="18" customHeight="1" x14ac:dyDescent="0.3">
      <c r="A493" s="1">
        <v>86338</v>
      </c>
      <c r="B493" s="1" t="str">
        <f>VLOOKUP( WeatherData[[#This Row],[Station Number]], 'Station Numbers'!A:B,2,FALSE)</f>
        <v xml:space="preserve">Melbourne (Olympic Park) </v>
      </c>
      <c r="C493" s="1">
        <v>2020</v>
      </c>
      <c r="D493" s="1">
        <v>5</v>
      </c>
      <c r="E493" s="1">
        <v>5</v>
      </c>
      <c r="F493" s="2">
        <f>DATE(WeatherData[[#This Row],[Year]],WeatherData[[#This Row],[Month]],WeatherData[[#This Row],[Day]])</f>
        <v>43956</v>
      </c>
      <c r="G493" s="2" t="str">
        <f>TEXT(WeatherData[[#This Row],[Date]], "mmmm")</f>
        <v>May</v>
      </c>
      <c r="H493" s="16">
        <v>0.4</v>
      </c>
      <c r="I493" s="16">
        <v>19.5</v>
      </c>
      <c r="J493" s="16">
        <v>8</v>
      </c>
      <c r="K493" s="6">
        <f t="shared" si="14"/>
        <v>11.5</v>
      </c>
      <c r="L493" s="4" t="str">
        <f t="shared" si="15"/>
        <v>Normal</v>
      </c>
    </row>
    <row r="494" spans="1:12" ht="18" customHeight="1" x14ac:dyDescent="0.3">
      <c r="A494" s="1">
        <v>86338</v>
      </c>
      <c r="B494" s="1" t="str">
        <f>VLOOKUP( WeatherData[[#This Row],[Station Number]], 'Station Numbers'!A:B,2,FALSE)</f>
        <v xml:space="preserve">Melbourne (Olympic Park) </v>
      </c>
      <c r="C494" s="1">
        <v>2020</v>
      </c>
      <c r="D494" s="1">
        <v>5</v>
      </c>
      <c r="E494" s="1">
        <v>6</v>
      </c>
      <c r="F494" s="2">
        <f>DATE(WeatherData[[#This Row],[Year]],WeatherData[[#This Row],[Month]],WeatherData[[#This Row],[Day]])</f>
        <v>43957</v>
      </c>
      <c r="G494" s="2" t="str">
        <f>TEXT(WeatherData[[#This Row],[Date]], "mmmm")</f>
        <v>May</v>
      </c>
      <c r="H494" s="16">
        <v>0</v>
      </c>
      <c r="I494" s="16">
        <v>20.100000000000001</v>
      </c>
      <c r="J494" s="16">
        <v>10.199999999999999</v>
      </c>
      <c r="K494" s="6">
        <f t="shared" si="14"/>
        <v>9.9000000000000021</v>
      </c>
      <c r="L494" s="4" t="str">
        <f t="shared" si="15"/>
        <v>Normal</v>
      </c>
    </row>
    <row r="495" spans="1:12" ht="18" customHeight="1" x14ac:dyDescent="0.3">
      <c r="A495" s="1">
        <v>86338</v>
      </c>
      <c r="B495" s="1" t="str">
        <f>VLOOKUP( WeatherData[[#This Row],[Station Number]], 'Station Numbers'!A:B,2,FALSE)</f>
        <v xml:space="preserve">Melbourne (Olympic Park) </v>
      </c>
      <c r="C495" s="1">
        <v>2020</v>
      </c>
      <c r="D495" s="1">
        <v>5</v>
      </c>
      <c r="E495" s="1">
        <v>7</v>
      </c>
      <c r="F495" s="2">
        <f>DATE(WeatherData[[#This Row],[Year]],WeatherData[[#This Row],[Month]],WeatherData[[#This Row],[Day]])</f>
        <v>43958</v>
      </c>
      <c r="G495" s="2" t="str">
        <f>TEXT(WeatherData[[#This Row],[Date]], "mmmm")</f>
        <v>May</v>
      </c>
      <c r="H495" s="16">
        <v>0</v>
      </c>
      <c r="I495" s="16">
        <v>21.1</v>
      </c>
      <c r="J495" s="16">
        <v>15.1</v>
      </c>
      <c r="K495" s="6">
        <f t="shared" si="14"/>
        <v>6.0000000000000018</v>
      </c>
      <c r="L495" s="4" t="str">
        <f t="shared" si="15"/>
        <v>Normal</v>
      </c>
    </row>
    <row r="496" spans="1:12" ht="18" customHeight="1" x14ac:dyDescent="0.3">
      <c r="A496" s="1">
        <v>86338</v>
      </c>
      <c r="B496" s="1" t="str">
        <f>VLOOKUP( WeatherData[[#This Row],[Station Number]], 'Station Numbers'!A:B,2,FALSE)</f>
        <v xml:space="preserve">Melbourne (Olympic Park) </v>
      </c>
      <c r="C496" s="1">
        <v>2020</v>
      </c>
      <c r="D496" s="1">
        <v>5</v>
      </c>
      <c r="E496" s="1">
        <v>8</v>
      </c>
      <c r="F496" s="2">
        <f>DATE(WeatherData[[#This Row],[Year]],WeatherData[[#This Row],[Month]],WeatherData[[#This Row],[Day]])</f>
        <v>43959</v>
      </c>
      <c r="G496" s="2" t="str">
        <f>TEXT(WeatherData[[#This Row],[Date]], "mmmm")</f>
        <v>May</v>
      </c>
      <c r="H496" s="16">
        <v>0</v>
      </c>
      <c r="I496" s="16">
        <v>19.600000000000001</v>
      </c>
      <c r="J496" s="16">
        <v>12.6</v>
      </c>
      <c r="K496" s="6">
        <f t="shared" si="14"/>
        <v>7.0000000000000018</v>
      </c>
      <c r="L496" s="4" t="str">
        <f t="shared" si="15"/>
        <v>Normal</v>
      </c>
    </row>
    <row r="497" spans="1:12" ht="18" customHeight="1" x14ac:dyDescent="0.3">
      <c r="A497" s="1">
        <v>86338</v>
      </c>
      <c r="B497" s="1" t="str">
        <f>VLOOKUP( WeatherData[[#This Row],[Station Number]], 'Station Numbers'!A:B,2,FALSE)</f>
        <v xml:space="preserve">Melbourne (Olympic Park) </v>
      </c>
      <c r="C497" s="1">
        <v>2020</v>
      </c>
      <c r="D497" s="1">
        <v>5</v>
      </c>
      <c r="E497" s="1">
        <v>9</v>
      </c>
      <c r="F497" s="2">
        <f>DATE(WeatherData[[#This Row],[Year]],WeatherData[[#This Row],[Month]],WeatherData[[#This Row],[Day]])</f>
        <v>43960</v>
      </c>
      <c r="G497" s="2" t="str">
        <f>TEXT(WeatherData[[#This Row],[Date]], "mmmm")</f>
        <v>May</v>
      </c>
      <c r="H497" s="16">
        <v>0.6</v>
      </c>
      <c r="I497" s="16">
        <v>14</v>
      </c>
      <c r="J497" s="16">
        <v>12.6</v>
      </c>
      <c r="K497" s="6">
        <f t="shared" si="14"/>
        <v>1.4000000000000004</v>
      </c>
      <c r="L497" s="4" t="str">
        <f t="shared" si="15"/>
        <v>Normal</v>
      </c>
    </row>
    <row r="498" spans="1:12" ht="18" customHeight="1" x14ac:dyDescent="0.3">
      <c r="A498" s="1">
        <v>86338</v>
      </c>
      <c r="B498" s="1" t="str">
        <f>VLOOKUP( WeatherData[[#This Row],[Station Number]], 'Station Numbers'!A:B,2,FALSE)</f>
        <v xml:space="preserve">Melbourne (Olympic Park) </v>
      </c>
      <c r="C498" s="1">
        <v>2020</v>
      </c>
      <c r="D498" s="1">
        <v>5</v>
      </c>
      <c r="E498" s="1">
        <v>10</v>
      </c>
      <c r="F498" s="2">
        <f>DATE(WeatherData[[#This Row],[Year]],WeatherData[[#This Row],[Month]],WeatherData[[#This Row],[Day]])</f>
        <v>43961</v>
      </c>
      <c r="G498" s="2" t="str">
        <f>TEXT(WeatherData[[#This Row],[Date]], "mmmm")</f>
        <v>May</v>
      </c>
      <c r="H498" s="16">
        <v>7</v>
      </c>
      <c r="I498" s="16">
        <v>14.5</v>
      </c>
      <c r="J498" s="16">
        <v>7.2</v>
      </c>
      <c r="K498" s="6">
        <f t="shared" si="14"/>
        <v>7.3</v>
      </c>
      <c r="L498" s="4" t="str">
        <f t="shared" si="15"/>
        <v>Normal</v>
      </c>
    </row>
    <row r="499" spans="1:12" ht="18" customHeight="1" x14ac:dyDescent="0.3">
      <c r="A499" s="1">
        <v>86338</v>
      </c>
      <c r="B499" s="1" t="str">
        <f>VLOOKUP( WeatherData[[#This Row],[Station Number]], 'Station Numbers'!A:B,2,FALSE)</f>
        <v xml:space="preserve">Melbourne (Olympic Park) </v>
      </c>
      <c r="C499" s="1">
        <v>2020</v>
      </c>
      <c r="D499" s="1">
        <v>5</v>
      </c>
      <c r="E499" s="1">
        <v>11</v>
      </c>
      <c r="F499" s="2">
        <f>DATE(WeatherData[[#This Row],[Year]],WeatherData[[#This Row],[Month]],WeatherData[[#This Row],[Day]])</f>
        <v>43962</v>
      </c>
      <c r="G499" s="2" t="str">
        <f>TEXT(WeatherData[[#This Row],[Date]], "mmmm")</f>
        <v>May</v>
      </c>
      <c r="H499" s="16">
        <v>0.6</v>
      </c>
      <c r="I499" s="16">
        <v>17.100000000000001</v>
      </c>
      <c r="J499" s="16">
        <v>7.8</v>
      </c>
      <c r="K499" s="6">
        <f t="shared" si="14"/>
        <v>9.3000000000000007</v>
      </c>
      <c r="L499" s="4" t="str">
        <f t="shared" si="15"/>
        <v>Normal</v>
      </c>
    </row>
    <row r="500" spans="1:12" ht="18" customHeight="1" x14ac:dyDescent="0.3">
      <c r="A500" s="1">
        <v>86338</v>
      </c>
      <c r="B500" s="1" t="str">
        <f>VLOOKUP( WeatherData[[#This Row],[Station Number]], 'Station Numbers'!A:B,2,FALSE)</f>
        <v xml:space="preserve">Melbourne (Olympic Park) </v>
      </c>
      <c r="C500" s="1">
        <v>2020</v>
      </c>
      <c r="D500" s="1">
        <v>5</v>
      </c>
      <c r="E500" s="1">
        <v>12</v>
      </c>
      <c r="F500" s="2">
        <f>DATE(WeatherData[[#This Row],[Year]],WeatherData[[#This Row],[Month]],WeatherData[[#This Row],[Day]])</f>
        <v>43963</v>
      </c>
      <c r="G500" s="2" t="str">
        <f>TEXT(WeatherData[[#This Row],[Date]], "mmmm")</f>
        <v>May</v>
      </c>
      <c r="H500" s="16">
        <v>0.2</v>
      </c>
      <c r="I500" s="16">
        <v>14.8</v>
      </c>
      <c r="J500" s="16">
        <v>10.3</v>
      </c>
      <c r="K500" s="6">
        <f t="shared" si="14"/>
        <v>4.5</v>
      </c>
      <c r="L500" s="4" t="str">
        <f t="shared" si="15"/>
        <v>Normal</v>
      </c>
    </row>
    <row r="501" spans="1:12" ht="18" customHeight="1" x14ac:dyDescent="0.3">
      <c r="A501" s="1">
        <v>86338</v>
      </c>
      <c r="B501" s="1" t="str">
        <f>VLOOKUP( WeatherData[[#This Row],[Station Number]], 'Station Numbers'!A:B,2,FALSE)</f>
        <v xml:space="preserve">Melbourne (Olympic Park) </v>
      </c>
      <c r="C501" s="1">
        <v>2020</v>
      </c>
      <c r="D501" s="1">
        <v>5</v>
      </c>
      <c r="E501" s="1">
        <v>13</v>
      </c>
      <c r="F501" s="2">
        <f>DATE(WeatherData[[#This Row],[Year]],WeatherData[[#This Row],[Month]],WeatherData[[#This Row],[Day]])</f>
        <v>43964</v>
      </c>
      <c r="G501" s="2" t="str">
        <f>TEXT(WeatherData[[#This Row],[Date]], "mmmm")</f>
        <v>May</v>
      </c>
      <c r="H501" s="16">
        <v>1.4</v>
      </c>
      <c r="I501" s="16">
        <v>14.5</v>
      </c>
      <c r="J501" s="16">
        <v>10.4</v>
      </c>
      <c r="K501" s="6">
        <f t="shared" si="14"/>
        <v>4.0999999999999996</v>
      </c>
      <c r="L501" s="4" t="str">
        <f t="shared" si="15"/>
        <v>Normal</v>
      </c>
    </row>
    <row r="502" spans="1:12" ht="18" customHeight="1" x14ac:dyDescent="0.3">
      <c r="A502" s="1">
        <v>86338</v>
      </c>
      <c r="B502" s="1" t="str">
        <f>VLOOKUP( WeatherData[[#This Row],[Station Number]], 'Station Numbers'!A:B,2,FALSE)</f>
        <v xml:space="preserve">Melbourne (Olympic Park) </v>
      </c>
      <c r="C502" s="1">
        <v>2020</v>
      </c>
      <c r="D502" s="1">
        <v>5</v>
      </c>
      <c r="E502" s="1">
        <v>14</v>
      </c>
      <c r="F502" s="2">
        <f>DATE(WeatherData[[#This Row],[Year]],WeatherData[[#This Row],[Month]],WeatherData[[#This Row],[Day]])</f>
        <v>43965</v>
      </c>
      <c r="G502" s="2" t="str">
        <f>TEXT(WeatherData[[#This Row],[Date]], "mmmm")</f>
        <v>May</v>
      </c>
      <c r="H502" s="16">
        <v>2.8</v>
      </c>
      <c r="I502" s="16">
        <v>14.7</v>
      </c>
      <c r="J502" s="16">
        <v>6.6</v>
      </c>
      <c r="K502" s="6">
        <f t="shared" si="14"/>
        <v>8.1</v>
      </c>
      <c r="L502" s="4" t="str">
        <f t="shared" si="15"/>
        <v>Normal</v>
      </c>
    </row>
    <row r="503" spans="1:12" ht="18" customHeight="1" x14ac:dyDescent="0.3">
      <c r="A503" s="1">
        <v>86338</v>
      </c>
      <c r="B503" s="1" t="str">
        <f>VLOOKUP( WeatherData[[#This Row],[Station Number]], 'Station Numbers'!A:B,2,FALSE)</f>
        <v xml:space="preserve">Melbourne (Olympic Park) </v>
      </c>
      <c r="C503" s="1">
        <v>2020</v>
      </c>
      <c r="D503" s="1">
        <v>5</v>
      </c>
      <c r="E503" s="1">
        <v>15</v>
      </c>
      <c r="F503" s="2">
        <f>DATE(WeatherData[[#This Row],[Year]],WeatherData[[#This Row],[Month]],WeatherData[[#This Row],[Day]])</f>
        <v>43966</v>
      </c>
      <c r="G503" s="2" t="str">
        <f>TEXT(WeatherData[[#This Row],[Date]], "mmmm")</f>
        <v>May</v>
      </c>
      <c r="H503" s="16">
        <v>0</v>
      </c>
      <c r="I503" s="16">
        <v>15.3</v>
      </c>
      <c r="J503" s="16">
        <v>4.5</v>
      </c>
      <c r="K503" s="6">
        <f t="shared" si="14"/>
        <v>10.8</v>
      </c>
      <c r="L503" s="4" t="str">
        <f t="shared" si="15"/>
        <v>Normal</v>
      </c>
    </row>
    <row r="504" spans="1:12" ht="18" customHeight="1" x14ac:dyDescent="0.3">
      <c r="A504" s="1">
        <v>86338</v>
      </c>
      <c r="B504" s="1" t="str">
        <f>VLOOKUP( WeatherData[[#This Row],[Station Number]], 'Station Numbers'!A:B,2,FALSE)</f>
        <v xml:space="preserve">Melbourne (Olympic Park) </v>
      </c>
      <c r="C504" s="1">
        <v>2020</v>
      </c>
      <c r="D504" s="1">
        <v>5</v>
      </c>
      <c r="E504" s="1">
        <v>16</v>
      </c>
      <c r="F504" s="2">
        <f>DATE(WeatherData[[#This Row],[Year]],WeatherData[[#This Row],[Month]],WeatherData[[#This Row],[Day]])</f>
        <v>43967</v>
      </c>
      <c r="G504" s="2" t="str">
        <f>TEXT(WeatherData[[#This Row],[Date]], "mmmm")</f>
        <v>May</v>
      </c>
      <c r="H504" s="16">
        <v>0</v>
      </c>
      <c r="I504" s="16">
        <v>18</v>
      </c>
      <c r="J504" s="16">
        <v>4.5</v>
      </c>
      <c r="K504" s="6">
        <f t="shared" si="14"/>
        <v>13.5</v>
      </c>
      <c r="L504" s="4" t="str">
        <f t="shared" si="15"/>
        <v>Normal</v>
      </c>
    </row>
    <row r="505" spans="1:12" ht="18" customHeight="1" x14ac:dyDescent="0.3">
      <c r="A505" s="1">
        <v>86338</v>
      </c>
      <c r="B505" s="1" t="str">
        <f>VLOOKUP( WeatherData[[#This Row],[Station Number]], 'Station Numbers'!A:B,2,FALSE)</f>
        <v xml:space="preserve">Melbourne (Olympic Park) </v>
      </c>
      <c r="C505" s="1">
        <v>2020</v>
      </c>
      <c r="D505" s="1">
        <v>5</v>
      </c>
      <c r="E505" s="1">
        <v>17</v>
      </c>
      <c r="F505" s="2">
        <f>DATE(WeatherData[[#This Row],[Year]],WeatherData[[#This Row],[Month]],WeatherData[[#This Row],[Day]])</f>
        <v>43968</v>
      </c>
      <c r="G505" s="2" t="str">
        <f>TEXT(WeatherData[[#This Row],[Date]], "mmmm")</f>
        <v>May</v>
      </c>
      <c r="H505" s="16">
        <v>0</v>
      </c>
      <c r="I505" s="16">
        <v>18.5</v>
      </c>
      <c r="J505" s="16">
        <v>5.0999999999999996</v>
      </c>
      <c r="K505" s="6">
        <f t="shared" si="14"/>
        <v>13.4</v>
      </c>
      <c r="L505" s="4" t="str">
        <f t="shared" si="15"/>
        <v>Normal</v>
      </c>
    </row>
    <row r="506" spans="1:12" ht="18" customHeight="1" x14ac:dyDescent="0.3">
      <c r="A506" s="1">
        <v>86338</v>
      </c>
      <c r="B506" s="1" t="str">
        <f>VLOOKUP( WeatherData[[#This Row],[Station Number]], 'Station Numbers'!A:B,2,FALSE)</f>
        <v xml:space="preserve">Melbourne (Olympic Park) </v>
      </c>
      <c r="C506" s="1">
        <v>2020</v>
      </c>
      <c r="D506" s="1">
        <v>5</v>
      </c>
      <c r="E506" s="1">
        <v>18</v>
      </c>
      <c r="F506" s="2">
        <f>DATE(WeatherData[[#This Row],[Year]],WeatherData[[#This Row],[Month]],WeatherData[[#This Row],[Day]])</f>
        <v>43969</v>
      </c>
      <c r="G506" s="2" t="str">
        <f>TEXT(WeatherData[[#This Row],[Date]], "mmmm")</f>
        <v>May</v>
      </c>
      <c r="H506" s="16">
        <v>0</v>
      </c>
      <c r="I506" s="16">
        <v>19.399999999999999</v>
      </c>
      <c r="J506" s="16">
        <v>5.5</v>
      </c>
      <c r="K506" s="6">
        <f t="shared" si="14"/>
        <v>13.899999999999999</v>
      </c>
      <c r="L506" s="4" t="str">
        <f t="shared" si="15"/>
        <v>Normal</v>
      </c>
    </row>
    <row r="507" spans="1:12" ht="18" customHeight="1" x14ac:dyDescent="0.3">
      <c r="A507" s="1">
        <v>86338</v>
      </c>
      <c r="B507" s="1" t="str">
        <f>VLOOKUP( WeatherData[[#This Row],[Station Number]], 'Station Numbers'!A:B,2,FALSE)</f>
        <v xml:space="preserve">Melbourne (Olympic Park) </v>
      </c>
      <c r="C507" s="1">
        <v>2020</v>
      </c>
      <c r="D507" s="1">
        <v>5</v>
      </c>
      <c r="E507" s="1">
        <v>19</v>
      </c>
      <c r="F507" s="2">
        <f>DATE(WeatherData[[#This Row],[Year]],WeatherData[[#This Row],[Month]],WeatherData[[#This Row],[Day]])</f>
        <v>43970</v>
      </c>
      <c r="G507" s="2" t="str">
        <f>TEXT(WeatherData[[#This Row],[Date]], "mmmm")</f>
        <v>May</v>
      </c>
      <c r="H507" s="16">
        <v>0</v>
      </c>
      <c r="I507" s="16">
        <v>17.7</v>
      </c>
      <c r="J507" s="16">
        <v>8.1</v>
      </c>
      <c r="K507" s="6">
        <f t="shared" si="14"/>
        <v>9.6</v>
      </c>
      <c r="L507" s="4" t="str">
        <f t="shared" si="15"/>
        <v>Normal</v>
      </c>
    </row>
    <row r="508" spans="1:12" ht="18" customHeight="1" x14ac:dyDescent="0.3">
      <c r="A508" s="1">
        <v>86338</v>
      </c>
      <c r="B508" s="1" t="str">
        <f>VLOOKUP( WeatherData[[#This Row],[Station Number]], 'Station Numbers'!A:B,2,FALSE)</f>
        <v xml:space="preserve">Melbourne (Olympic Park) </v>
      </c>
      <c r="C508" s="1">
        <v>2020</v>
      </c>
      <c r="D508" s="1">
        <v>5</v>
      </c>
      <c r="E508" s="1">
        <v>20</v>
      </c>
      <c r="F508" s="2">
        <f>DATE(WeatherData[[#This Row],[Year]],WeatherData[[#This Row],[Month]],WeatherData[[#This Row],[Day]])</f>
        <v>43971</v>
      </c>
      <c r="G508" s="2" t="str">
        <f>TEXT(WeatherData[[#This Row],[Date]], "mmmm")</f>
        <v>May</v>
      </c>
      <c r="H508" s="16">
        <v>15.6</v>
      </c>
      <c r="I508" s="16">
        <v>15.8</v>
      </c>
      <c r="J508" s="16">
        <v>10.3</v>
      </c>
      <c r="K508" s="6">
        <f t="shared" si="14"/>
        <v>5.5</v>
      </c>
      <c r="L508" s="4" t="str">
        <f t="shared" si="15"/>
        <v>Normal</v>
      </c>
    </row>
    <row r="509" spans="1:12" ht="18" customHeight="1" x14ac:dyDescent="0.3">
      <c r="A509" s="1">
        <v>86338</v>
      </c>
      <c r="B509" s="1" t="str">
        <f>VLOOKUP( WeatherData[[#This Row],[Station Number]], 'Station Numbers'!A:B,2,FALSE)</f>
        <v xml:space="preserve">Melbourne (Olympic Park) </v>
      </c>
      <c r="C509" s="1">
        <v>2020</v>
      </c>
      <c r="D509" s="1">
        <v>5</v>
      </c>
      <c r="E509" s="1">
        <v>21</v>
      </c>
      <c r="F509" s="2">
        <f>DATE(WeatherData[[#This Row],[Year]],WeatherData[[#This Row],[Month]],WeatherData[[#This Row],[Day]])</f>
        <v>43972</v>
      </c>
      <c r="G509" s="2" t="str">
        <f>TEXT(WeatherData[[#This Row],[Date]], "mmmm")</f>
        <v>May</v>
      </c>
      <c r="H509" s="16">
        <v>12.4</v>
      </c>
      <c r="I509" s="16">
        <v>13.7</v>
      </c>
      <c r="J509" s="16">
        <v>9.4</v>
      </c>
      <c r="K509" s="6">
        <f t="shared" si="14"/>
        <v>4.2999999999999989</v>
      </c>
      <c r="L509" s="4" t="str">
        <f t="shared" si="15"/>
        <v>Normal</v>
      </c>
    </row>
    <row r="510" spans="1:12" ht="18" customHeight="1" x14ac:dyDescent="0.3">
      <c r="A510" s="1">
        <v>86338</v>
      </c>
      <c r="B510" s="1" t="str">
        <f>VLOOKUP( WeatherData[[#This Row],[Station Number]], 'Station Numbers'!A:B,2,FALSE)</f>
        <v xml:space="preserve">Melbourne (Olympic Park) </v>
      </c>
      <c r="C510" s="1">
        <v>2020</v>
      </c>
      <c r="D510" s="1">
        <v>5</v>
      </c>
      <c r="E510" s="1">
        <v>22</v>
      </c>
      <c r="F510" s="2">
        <f>DATE(WeatherData[[#This Row],[Year]],WeatherData[[#This Row],[Month]],WeatherData[[#This Row],[Day]])</f>
        <v>43973</v>
      </c>
      <c r="G510" s="2" t="str">
        <f>TEXT(WeatherData[[#This Row],[Date]], "mmmm")</f>
        <v>May</v>
      </c>
      <c r="H510" s="16">
        <v>11.4</v>
      </c>
      <c r="I510" s="16">
        <v>13.6</v>
      </c>
      <c r="J510" s="16">
        <v>9.1</v>
      </c>
      <c r="K510" s="6">
        <f t="shared" si="14"/>
        <v>4.5</v>
      </c>
      <c r="L510" s="4" t="str">
        <f t="shared" si="15"/>
        <v>Normal</v>
      </c>
    </row>
    <row r="511" spans="1:12" ht="18" customHeight="1" x14ac:dyDescent="0.3">
      <c r="A511" s="1">
        <v>86338</v>
      </c>
      <c r="B511" s="1" t="str">
        <f>VLOOKUP( WeatherData[[#This Row],[Station Number]], 'Station Numbers'!A:B,2,FALSE)</f>
        <v xml:space="preserve">Melbourne (Olympic Park) </v>
      </c>
      <c r="C511" s="1">
        <v>2020</v>
      </c>
      <c r="D511" s="1">
        <v>5</v>
      </c>
      <c r="E511" s="1">
        <v>23</v>
      </c>
      <c r="F511" s="2">
        <f>DATE(WeatherData[[#This Row],[Year]],WeatherData[[#This Row],[Month]],WeatherData[[#This Row],[Day]])</f>
        <v>43974</v>
      </c>
      <c r="G511" s="2" t="str">
        <f>TEXT(WeatherData[[#This Row],[Date]], "mmmm")</f>
        <v>May</v>
      </c>
      <c r="H511" s="16">
        <v>0</v>
      </c>
      <c r="I511" s="16">
        <v>13.5</v>
      </c>
      <c r="J511" s="16">
        <v>9.4</v>
      </c>
      <c r="K511" s="6">
        <f t="shared" si="14"/>
        <v>4.0999999999999996</v>
      </c>
      <c r="L511" s="4" t="str">
        <f t="shared" si="15"/>
        <v>Normal</v>
      </c>
    </row>
    <row r="512" spans="1:12" ht="18" customHeight="1" x14ac:dyDescent="0.3">
      <c r="A512" s="1">
        <v>86338</v>
      </c>
      <c r="B512" s="1" t="str">
        <f>VLOOKUP( WeatherData[[#This Row],[Station Number]], 'Station Numbers'!A:B,2,FALSE)</f>
        <v xml:space="preserve">Melbourne (Olympic Park) </v>
      </c>
      <c r="C512" s="1">
        <v>2020</v>
      </c>
      <c r="D512" s="1">
        <v>5</v>
      </c>
      <c r="E512" s="1">
        <v>24</v>
      </c>
      <c r="F512" s="2">
        <f>DATE(WeatherData[[#This Row],[Year]],WeatherData[[#This Row],[Month]],WeatherData[[#This Row],[Day]])</f>
        <v>43975</v>
      </c>
      <c r="G512" s="2" t="str">
        <f>TEXT(WeatherData[[#This Row],[Date]], "mmmm")</f>
        <v>May</v>
      </c>
      <c r="H512" s="16">
        <v>3</v>
      </c>
      <c r="I512" s="16">
        <v>13.8</v>
      </c>
      <c r="J512" s="16">
        <v>10.9</v>
      </c>
      <c r="K512" s="6">
        <f t="shared" si="14"/>
        <v>2.9000000000000004</v>
      </c>
      <c r="L512" s="4" t="str">
        <f t="shared" si="15"/>
        <v>Normal</v>
      </c>
    </row>
    <row r="513" spans="1:12" ht="18" customHeight="1" x14ac:dyDescent="0.3">
      <c r="A513" s="1">
        <v>86338</v>
      </c>
      <c r="B513" s="1" t="str">
        <f>VLOOKUP( WeatherData[[#This Row],[Station Number]], 'Station Numbers'!A:B,2,FALSE)</f>
        <v xml:space="preserve">Melbourne (Olympic Park) </v>
      </c>
      <c r="C513" s="1">
        <v>2020</v>
      </c>
      <c r="D513" s="1">
        <v>5</v>
      </c>
      <c r="E513" s="1">
        <v>25</v>
      </c>
      <c r="F513" s="2">
        <f>DATE(WeatherData[[#This Row],[Year]],WeatherData[[#This Row],[Month]],WeatherData[[#This Row],[Day]])</f>
        <v>43976</v>
      </c>
      <c r="G513" s="2" t="str">
        <f>TEXT(WeatherData[[#This Row],[Date]], "mmmm")</f>
        <v>May</v>
      </c>
      <c r="H513" s="16">
        <v>0</v>
      </c>
      <c r="I513" s="16">
        <v>16</v>
      </c>
      <c r="J513" s="16">
        <v>5.5</v>
      </c>
      <c r="K513" s="6">
        <f t="shared" si="14"/>
        <v>10.5</v>
      </c>
      <c r="L513" s="4" t="str">
        <f t="shared" si="15"/>
        <v>Normal</v>
      </c>
    </row>
    <row r="514" spans="1:12" ht="18" customHeight="1" x14ac:dyDescent="0.3">
      <c r="A514" s="1">
        <v>86338</v>
      </c>
      <c r="B514" s="1" t="str">
        <f>VLOOKUP( WeatherData[[#This Row],[Station Number]], 'Station Numbers'!A:B,2,FALSE)</f>
        <v xml:space="preserve">Melbourne (Olympic Park) </v>
      </c>
      <c r="C514" s="1">
        <v>2020</v>
      </c>
      <c r="D514" s="1">
        <v>5</v>
      </c>
      <c r="E514" s="1">
        <v>26</v>
      </c>
      <c r="F514" s="2">
        <f>DATE(WeatherData[[#This Row],[Year]],WeatherData[[#This Row],[Month]],WeatherData[[#This Row],[Day]])</f>
        <v>43977</v>
      </c>
      <c r="G514" s="2" t="str">
        <f>TEXT(WeatherData[[#This Row],[Date]], "mmmm")</f>
        <v>May</v>
      </c>
      <c r="H514" s="16">
        <v>0</v>
      </c>
      <c r="I514" s="16">
        <v>18.5</v>
      </c>
      <c r="J514" s="16">
        <v>5.4</v>
      </c>
      <c r="K514" s="6">
        <f t="shared" ref="K514:K577" si="16">I514-J514</f>
        <v>13.1</v>
      </c>
      <c r="L514" s="4" t="str">
        <f t="shared" ref="L514:L577" si="17">IF(AND(I514&gt;35, H514&gt;20), "Heatwave + Rain",
   IF(I514&gt;35, "Heatwave",
   IF(H514&gt;20, "Heavy Rain",
   IF(I514&lt;10, "Cold",
   "Normal"))))</f>
        <v>Normal</v>
      </c>
    </row>
    <row r="515" spans="1:12" ht="18" customHeight="1" x14ac:dyDescent="0.3">
      <c r="A515" s="1">
        <v>86338</v>
      </c>
      <c r="B515" s="1" t="str">
        <f>VLOOKUP( WeatherData[[#This Row],[Station Number]], 'Station Numbers'!A:B,2,FALSE)</f>
        <v xml:space="preserve">Melbourne (Olympic Park) </v>
      </c>
      <c r="C515" s="1">
        <v>2020</v>
      </c>
      <c r="D515" s="1">
        <v>5</v>
      </c>
      <c r="E515" s="1">
        <v>27</v>
      </c>
      <c r="F515" s="2">
        <f>DATE(WeatherData[[#This Row],[Year]],WeatherData[[#This Row],[Month]],WeatherData[[#This Row],[Day]])</f>
        <v>43978</v>
      </c>
      <c r="G515" s="2" t="str">
        <f>TEXT(WeatherData[[#This Row],[Date]], "mmmm")</f>
        <v>May</v>
      </c>
      <c r="H515" s="16">
        <v>0</v>
      </c>
      <c r="I515" s="16">
        <v>17.100000000000001</v>
      </c>
      <c r="J515" s="16">
        <v>5.9</v>
      </c>
      <c r="K515" s="6">
        <f t="shared" si="16"/>
        <v>11.200000000000001</v>
      </c>
      <c r="L515" s="4" t="str">
        <f t="shared" si="17"/>
        <v>Normal</v>
      </c>
    </row>
    <row r="516" spans="1:12" ht="18" customHeight="1" x14ac:dyDescent="0.3">
      <c r="A516" s="1">
        <v>86338</v>
      </c>
      <c r="B516" s="1" t="str">
        <f>VLOOKUP( WeatherData[[#This Row],[Station Number]], 'Station Numbers'!A:B,2,FALSE)</f>
        <v xml:space="preserve">Melbourne (Olympic Park) </v>
      </c>
      <c r="C516" s="1">
        <v>2020</v>
      </c>
      <c r="D516" s="1">
        <v>5</v>
      </c>
      <c r="E516" s="1">
        <v>28</v>
      </c>
      <c r="F516" s="2">
        <f>DATE(WeatherData[[#This Row],[Year]],WeatherData[[#This Row],[Month]],WeatherData[[#This Row],[Day]])</f>
        <v>43979</v>
      </c>
      <c r="G516" s="2" t="str">
        <f>TEXT(WeatherData[[#This Row],[Date]], "mmmm")</f>
        <v>May</v>
      </c>
      <c r="H516" s="16">
        <v>0</v>
      </c>
      <c r="I516" s="16">
        <v>17.600000000000001</v>
      </c>
      <c r="J516" s="16">
        <v>12.1</v>
      </c>
      <c r="K516" s="6">
        <f t="shared" si="16"/>
        <v>5.5000000000000018</v>
      </c>
      <c r="L516" s="4" t="str">
        <f t="shared" si="17"/>
        <v>Normal</v>
      </c>
    </row>
    <row r="517" spans="1:12" ht="18" customHeight="1" x14ac:dyDescent="0.3">
      <c r="A517" s="1">
        <v>86338</v>
      </c>
      <c r="B517" s="1" t="str">
        <f>VLOOKUP( WeatherData[[#This Row],[Station Number]], 'Station Numbers'!A:B,2,FALSE)</f>
        <v xml:space="preserve">Melbourne (Olympic Park) </v>
      </c>
      <c r="C517" s="1">
        <v>2020</v>
      </c>
      <c r="D517" s="1">
        <v>5</v>
      </c>
      <c r="E517" s="1">
        <v>29</v>
      </c>
      <c r="F517" s="2">
        <f>DATE(WeatherData[[#This Row],[Year]],WeatherData[[#This Row],[Month]],WeatherData[[#This Row],[Day]])</f>
        <v>43980</v>
      </c>
      <c r="G517" s="2" t="str">
        <f>TEXT(WeatherData[[#This Row],[Date]], "mmmm")</f>
        <v>May</v>
      </c>
      <c r="H517" s="16">
        <v>0</v>
      </c>
      <c r="I517" s="16">
        <v>17.100000000000001</v>
      </c>
      <c r="J517" s="16">
        <v>7.2</v>
      </c>
      <c r="K517" s="6">
        <f t="shared" si="16"/>
        <v>9.9000000000000021</v>
      </c>
      <c r="L517" s="4" t="str">
        <f t="shared" si="17"/>
        <v>Normal</v>
      </c>
    </row>
    <row r="518" spans="1:12" ht="18" customHeight="1" x14ac:dyDescent="0.3">
      <c r="A518" s="1">
        <v>86338</v>
      </c>
      <c r="B518" s="1" t="str">
        <f>VLOOKUP( WeatherData[[#This Row],[Station Number]], 'Station Numbers'!A:B,2,FALSE)</f>
        <v xml:space="preserve">Melbourne (Olympic Park) </v>
      </c>
      <c r="C518" s="1">
        <v>2020</v>
      </c>
      <c r="D518" s="1">
        <v>5</v>
      </c>
      <c r="E518" s="1">
        <v>30</v>
      </c>
      <c r="F518" s="2">
        <f>DATE(WeatherData[[#This Row],[Year]],WeatherData[[#This Row],[Month]],WeatherData[[#This Row],[Day]])</f>
        <v>43981</v>
      </c>
      <c r="G518" s="2" t="str">
        <f>TEXT(WeatherData[[#This Row],[Date]], "mmmm")</f>
        <v>May</v>
      </c>
      <c r="H518" s="16">
        <v>0</v>
      </c>
      <c r="I518" s="16">
        <v>17.100000000000001</v>
      </c>
      <c r="J518" s="16">
        <v>8.1</v>
      </c>
      <c r="K518" s="6">
        <f t="shared" si="16"/>
        <v>9.0000000000000018</v>
      </c>
      <c r="L518" s="4" t="str">
        <f t="shared" si="17"/>
        <v>Normal</v>
      </c>
    </row>
    <row r="519" spans="1:12" ht="18" customHeight="1" x14ac:dyDescent="0.3">
      <c r="A519" s="1">
        <v>86338</v>
      </c>
      <c r="B519" s="1" t="str">
        <f>VLOOKUP( WeatherData[[#This Row],[Station Number]], 'Station Numbers'!A:B,2,FALSE)</f>
        <v xml:space="preserve">Melbourne (Olympic Park) </v>
      </c>
      <c r="C519" s="1">
        <v>2020</v>
      </c>
      <c r="D519" s="1">
        <v>5</v>
      </c>
      <c r="E519" s="1">
        <v>31</v>
      </c>
      <c r="F519" s="2">
        <f>DATE(WeatherData[[#This Row],[Year]],WeatherData[[#This Row],[Month]],WeatherData[[#This Row],[Day]])</f>
        <v>43982</v>
      </c>
      <c r="G519" s="2" t="str">
        <f>TEXT(WeatherData[[#This Row],[Date]], "mmmm")</f>
        <v>May</v>
      </c>
      <c r="H519" s="16">
        <v>0</v>
      </c>
      <c r="I519" s="16">
        <v>17.8</v>
      </c>
      <c r="J519" s="16">
        <v>12.4</v>
      </c>
      <c r="K519" s="6">
        <f t="shared" si="16"/>
        <v>5.4</v>
      </c>
      <c r="L519" s="4" t="str">
        <f t="shared" si="17"/>
        <v>Normal</v>
      </c>
    </row>
    <row r="520" spans="1:12" ht="18" customHeight="1" x14ac:dyDescent="0.3">
      <c r="A520" s="1">
        <v>86338</v>
      </c>
      <c r="B520" s="1" t="str">
        <f>VLOOKUP( WeatherData[[#This Row],[Station Number]], 'Station Numbers'!A:B,2,FALSE)</f>
        <v xml:space="preserve">Melbourne (Olympic Park) </v>
      </c>
      <c r="C520" s="1">
        <v>2020</v>
      </c>
      <c r="D520" s="1">
        <v>6</v>
      </c>
      <c r="E520" s="1">
        <v>1</v>
      </c>
      <c r="F520" s="2">
        <f>DATE(WeatherData[[#This Row],[Year]],WeatherData[[#This Row],[Month]],WeatherData[[#This Row],[Day]])</f>
        <v>43983</v>
      </c>
      <c r="G520" s="2" t="str">
        <f>TEXT(WeatherData[[#This Row],[Date]], "mmmm")</f>
        <v>June</v>
      </c>
      <c r="H520" s="16">
        <v>5</v>
      </c>
      <c r="I520" s="16">
        <v>11.2</v>
      </c>
      <c r="J520" s="16">
        <v>9.3000000000000007</v>
      </c>
      <c r="K520" s="6">
        <f t="shared" si="16"/>
        <v>1.8999999999999986</v>
      </c>
      <c r="L520" s="4" t="str">
        <f t="shared" si="17"/>
        <v>Normal</v>
      </c>
    </row>
    <row r="521" spans="1:12" ht="18" customHeight="1" x14ac:dyDescent="0.3">
      <c r="A521" s="1">
        <v>86338</v>
      </c>
      <c r="B521" s="1" t="str">
        <f>VLOOKUP( WeatherData[[#This Row],[Station Number]], 'Station Numbers'!A:B,2,FALSE)</f>
        <v xml:space="preserve">Melbourne (Olympic Park) </v>
      </c>
      <c r="C521" s="1">
        <v>2020</v>
      </c>
      <c r="D521" s="1">
        <v>6</v>
      </c>
      <c r="E521" s="1">
        <v>2</v>
      </c>
      <c r="F521" s="2">
        <f>DATE(WeatherData[[#This Row],[Year]],WeatherData[[#This Row],[Month]],WeatherData[[#This Row],[Day]])</f>
        <v>43984</v>
      </c>
      <c r="G521" s="2" t="str">
        <f>TEXT(WeatherData[[#This Row],[Date]], "mmmm")</f>
        <v>June</v>
      </c>
      <c r="H521" s="16">
        <v>11.6</v>
      </c>
      <c r="I521" s="16">
        <v>15.6</v>
      </c>
      <c r="J521" s="16">
        <v>8.4</v>
      </c>
      <c r="K521" s="6">
        <f t="shared" si="16"/>
        <v>7.1999999999999993</v>
      </c>
      <c r="L521" s="4" t="str">
        <f t="shared" si="17"/>
        <v>Normal</v>
      </c>
    </row>
    <row r="522" spans="1:12" ht="18" customHeight="1" x14ac:dyDescent="0.3">
      <c r="A522" s="1">
        <v>86338</v>
      </c>
      <c r="B522" s="1" t="str">
        <f>VLOOKUP( WeatherData[[#This Row],[Station Number]], 'Station Numbers'!A:B,2,FALSE)</f>
        <v xml:space="preserve">Melbourne (Olympic Park) </v>
      </c>
      <c r="C522" s="1">
        <v>2020</v>
      </c>
      <c r="D522" s="1">
        <v>6</v>
      </c>
      <c r="E522" s="1">
        <v>3</v>
      </c>
      <c r="F522" s="2">
        <f>DATE(WeatherData[[#This Row],[Year]],WeatherData[[#This Row],[Month]],WeatherData[[#This Row],[Day]])</f>
        <v>43985</v>
      </c>
      <c r="G522" s="2" t="str">
        <f>TEXT(WeatherData[[#This Row],[Date]], "mmmm")</f>
        <v>June</v>
      </c>
      <c r="H522" s="16">
        <v>0.6</v>
      </c>
      <c r="I522" s="16">
        <v>14.1</v>
      </c>
      <c r="J522" s="16">
        <v>10.5</v>
      </c>
      <c r="K522" s="6">
        <f t="shared" si="16"/>
        <v>3.5999999999999996</v>
      </c>
      <c r="L522" s="4" t="str">
        <f t="shared" si="17"/>
        <v>Normal</v>
      </c>
    </row>
    <row r="523" spans="1:12" ht="18" customHeight="1" x14ac:dyDescent="0.3">
      <c r="A523" s="1">
        <v>86338</v>
      </c>
      <c r="B523" s="1" t="str">
        <f>VLOOKUP( WeatherData[[#This Row],[Station Number]], 'Station Numbers'!A:B,2,FALSE)</f>
        <v xml:space="preserve">Melbourne (Olympic Park) </v>
      </c>
      <c r="C523" s="1">
        <v>2020</v>
      </c>
      <c r="D523" s="1">
        <v>6</v>
      </c>
      <c r="E523" s="1">
        <v>4</v>
      </c>
      <c r="F523" s="2">
        <f>DATE(WeatherData[[#This Row],[Year]],WeatherData[[#This Row],[Month]],WeatherData[[#This Row],[Day]])</f>
        <v>43986</v>
      </c>
      <c r="G523" s="2" t="str">
        <f>TEXT(WeatherData[[#This Row],[Date]], "mmmm")</f>
        <v>June</v>
      </c>
      <c r="H523" s="16">
        <v>0</v>
      </c>
      <c r="I523" s="16">
        <v>13.8</v>
      </c>
      <c r="J523" s="16">
        <v>9.3000000000000007</v>
      </c>
      <c r="K523" s="6">
        <f t="shared" si="16"/>
        <v>4.5</v>
      </c>
      <c r="L523" s="4" t="str">
        <f t="shared" si="17"/>
        <v>Normal</v>
      </c>
    </row>
    <row r="524" spans="1:12" ht="18" customHeight="1" x14ac:dyDescent="0.3">
      <c r="A524" s="1">
        <v>86338</v>
      </c>
      <c r="B524" s="1" t="str">
        <f>VLOOKUP( WeatherData[[#This Row],[Station Number]], 'Station Numbers'!A:B,2,FALSE)</f>
        <v xml:space="preserve">Melbourne (Olympic Park) </v>
      </c>
      <c r="C524" s="1">
        <v>2020</v>
      </c>
      <c r="D524" s="1">
        <v>6</v>
      </c>
      <c r="E524" s="1">
        <v>5</v>
      </c>
      <c r="F524" s="2">
        <f>DATE(WeatherData[[#This Row],[Year]],WeatherData[[#This Row],[Month]],WeatherData[[#This Row],[Day]])</f>
        <v>43987</v>
      </c>
      <c r="G524" s="2" t="str">
        <f>TEXT(WeatherData[[#This Row],[Date]], "mmmm")</f>
        <v>June</v>
      </c>
      <c r="H524" s="16">
        <v>0</v>
      </c>
      <c r="I524" s="16">
        <v>14.6</v>
      </c>
      <c r="J524" s="16">
        <v>4.0999999999999996</v>
      </c>
      <c r="K524" s="6">
        <f t="shared" si="16"/>
        <v>10.5</v>
      </c>
      <c r="L524" s="4" t="str">
        <f t="shared" si="17"/>
        <v>Normal</v>
      </c>
    </row>
    <row r="525" spans="1:12" ht="18" customHeight="1" x14ac:dyDescent="0.3">
      <c r="A525" s="1">
        <v>86338</v>
      </c>
      <c r="B525" s="1" t="str">
        <f>VLOOKUP( WeatherData[[#This Row],[Station Number]], 'Station Numbers'!A:B,2,FALSE)</f>
        <v xml:space="preserve">Melbourne (Olympic Park) </v>
      </c>
      <c r="C525" s="1">
        <v>2020</v>
      </c>
      <c r="D525" s="1">
        <v>6</v>
      </c>
      <c r="E525" s="1">
        <v>6</v>
      </c>
      <c r="F525" s="2">
        <f>DATE(WeatherData[[#This Row],[Year]],WeatherData[[#This Row],[Month]],WeatherData[[#This Row],[Day]])</f>
        <v>43988</v>
      </c>
      <c r="G525" s="2" t="str">
        <f>TEXT(WeatherData[[#This Row],[Date]], "mmmm")</f>
        <v>June</v>
      </c>
      <c r="H525" s="16">
        <v>0</v>
      </c>
      <c r="I525" s="16">
        <v>13.3</v>
      </c>
      <c r="J525" s="16">
        <v>6</v>
      </c>
      <c r="K525" s="6">
        <f t="shared" si="16"/>
        <v>7.3000000000000007</v>
      </c>
      <c r="L525" s="4" t="str">
        <f t="shared" si="17"/>
        <v>Normal</v>
      </c>
    </row>
    <row r="526" spans="1:12" ht="18" customHeight="1" x14ac:dyDescent="0.3">
      <c r="A526" s="1">
        <v>86338</v>
      </c>
      <c r="B526" s="1" t="str">
        <f>VLOOKUP( WeatherData[[#This Row],[Station Number]], 'Station Numbers'!A:B,2,FALSE)</f>
        <v xml:space="preserve">Melbourne (Olympic Park) </v>
      </c>
      <c r="C526" s="1">
        <v>2020</v>
      </c>
      <c r="D526" s="1">
        <v>6</v>
      </c>
      <c r="E526" s="1">
        <v>7</v>
      </c>
      <c r="F526" s="2">
        <f>DATE(WeatherData[[#This Row],[Year]],WeatherData[[#This Row],[Month]],WeatherData[[#This Row],[Day]])</f>
        <v>43989</v>
      </c>
      <c r="G526" s="2" t="str">
        <f>TEXT(WeatherData[[#This Row],[Date]], "mmmm")</f>
        <v>June</v>
      </c>
      <c r="H526" s="16">
        <v>0</v>
      </c>
      <c r="I526" s="16">
        <v>11.8</v>
      </c>
      <c r="J526" s="16">
        <v>7.9</v>
      </c>
      <c r="K526" s="6">
        <f t="shared" si="16"/>
        <v>3.9000000000000004</v>
      </c>
      <c r="L526" s="4" t="str">
        <f t="shared" si="17"/>
        <v>Normal</v>
      </c>
    </row>
    <row r="527" spans="1:12" ht="18" customHeight="1" x14ac:dyDescent="0.3">
      <c r="A527" s="1">
        <v>86338</v>
      </c>
      <c r="B527" s="1" t="str">
        <f>VLOOKUP( WeatherData[[#This Row],[Station Number]], 'Station Numbers'!A:B,2,FALSE)</f>
        <v xml:space="preserve">Melbourne (Olympic Park) </v>
      </c>
      <c r="C527" s="1">
        <v>2020</v>
      </c>
      <c r="D527" s="1">
        <v>6</v>
      </c>
      <c r="E527" s="1">
        <v>8</v>
      </c>
      <c r="F527" s="2">
        <f>DATE(WeatherData[[#This Row],[Year]],WeatherData[[#This Row],[Month]],WeatherData[[#This Row],[Day]])</f>
        <v>43990</v>
      </c>
      <c r="G527" s="2" t="str">
        <f>TEXT(WeatherData[[#This Row],[Date]], "mmmm")</f>
        <v>June</v>
      </c>
      <c r="H527" s="16">
        <v>0</v>
      </c>
      <c r="I527" s="16">
        <v>12.6</v>
      </c>
      <c r="J527" s="16">
        <v>4.5</v>
      </c>
      <c r="K527" s="6">
        <f t="shared" si="16"/>
        <v>8.1</v>
      </c>
      <c r="L527" s="4" t="str">
        <f t="shared" si="17"/>
        <v>Normal</v>
      </c>
    </row>
    <row r="528" spans="1:12" ht="18" customHeight="1" x14ac:dyDescent="0.3">
      <c r="A528" s="1">
        <v>86338</v>
      </c>
      <c r="B528" s="1" t="str">
        <f>VLOOKUP( WeatherData[[#This Row],[Station Number]], 'Station Numbers'!A:B,2,FALSE)</f>
        <v xml:space="preserve">Melbourne (Olympic Park) </v>
      </c>
      <c r="C528" s="1">
        <v>2020</v>
      </c>
      <c r="D528" s="1">
        <v>6</v>
      </c>
      <c r="E528" s="1">
        <v>9</v>
      </c>
      <c r="F528" s="2">
        <f>DATE(WeatherData[[#This Row],[Year]],WeatherData[[#This Row],[Month]],WeatherData[[#This Row],[Day]])</f>
        <v>43991</v>
      </c>
      <c r="G528" s="2" t="str">
        <f>TEXT(WeatherData[[#This Row],[Date]], "mmmm")</f>
        <v>June</v>
      </c>
      <c r="H528" s="16">
        <v>0.2</v>
      </c>
      <c r="I528" s="16">
        <v>15.3</v>
      </c>
      <c r="J528" s="16">
        <v>2</v>
      </c>
      <c r="K528" s="6">
        <f t="shared" si="16"/>
        <v>13.3</v>
      </c>
      <c r="L528" s="4" t="str">
        <f t="shared" si="17"/>
        <v>Normal</v>
      </c>
    </row>
    <row r="529" spans="1:12" ht="18" customHeight="1" x14ac:dyDescent="0.3">
      <c r="A529" s="1">
        <v>86338</v>
      </c>
      <c r="B529" s="1" t="str">
        <f>VLOOKUP( WeatherData[[#This Row],[Station Number]], 'Station Numbers'!A:B,2,FALSE)</f>
        <v xml:space="preserve">Melbourne (Olympic Park) </v>
      </c>
      <c r="C529" s="1">
        <v>2020</v>
      </c>
      <c r="D529" s="1">
        <v>6</v>
      </c>
      <c r="E529" s="1">
        <v>10</v>
      </c>
      <c r="F529" s="2">
        <f>DATE(WeatherData[[#This Row],[Year]],WeatherData[[#This Row],[Month]],WeatherData[[#This Row],[Day]])</f>
        <v>43992</v>
      </c>
      <c r="G529" s="2" t="str">
        <f>TEXT(WeatherData[[#This Row],[Date]], "mmmm")</f>
        <v>June</v>
      </c>
      <c r="H529" s="16">
        <v>0</v>
      </c>
      <c r="I529" s="16">
        <v>16.7</v>
      </c>
      <c r="J529" s="16">
        <v>3.9</v>
      </c>
      <c r="K529" s="6">
        <f t="shared" si="16"/>
        <v>12.799999999999999</v>
      </c>
      <c r="L529" s="4" t="str">
        <f t="shared" si="17"/>
        <v>Normal</v>
      </c>
    </row>
    <row r="530" spans="1:12" ht="18" customHeight="1" x14ac:dyDescent="0.3">
      <c r="A530" s="1">
        <v>86338</v>
      </c>
      <c r="B530" s="1" t="str">
        <f>VLOOKUP( WeatherData[[#This Row],[Station Number]], 'Station Numbers'!A:B,2,FALSE)</f>
        <v xml:space="preserve">Melbourne (Olympic Park) </v>
      </c>
      <c r="C530" s="1">
        <v>2020</v>
      </c>
      <c r="D530" s="1">
        <v>6</v>
      </c>
      <c r="E530" s="1">
        <v>11</v>
      </c>
      <c r="F530" s="2">
        <f>DATE(WeatherData[[#This Row],[Year]],WeatherData[[#This Row],[Month]],WeatherData[[#This Row],[Day]])</f>
        <v>43993</v>
      </c>
      <c r="G530" s="2" t="str">
        <f>TEXT(WeatherData[[#This Row],[Date]], "mmmm")</f>
        <v>June</v>
      </c>
      <c r="H530" s="16">
        <v>0</v>
      </c>
      <c r="I530" s="16">
        <v>16.899999999999999</v>
      </c>
      <c r="J530" s="16">
        <v>4.5</v>
      </c>
      <c r="K530" s="6">
        <f t="shared" si="16"/>
        <v>12.399999999999999</v>
      </c>
      <c r="L530" s="4" t="str">
        <f t="shared" si="17"/>
        <v>Normal</v>
      </c>
    </row>
    <row r="531" spans="1:12" ht="18" customHeight="1" x14ac:dyDescent="0.3">
      <c r="A531" s="1">
        <v>86338</v>
      </c>
      <c r="B531" s="1" t="str">
        <f>VLOOKUP( WeatherData[[#This Row],[Station Number]], 'Station Numbers'!A:B,2,FALSE)</f>
        <v xml:space="preserve">Melbourne (Olympic Park) </v>
      </c>
      <c r="C531" s="1">
        <v>2020</v>
      </c>
      <c r="D531" s="1">
        <v>6</v>
      </c>
      <c r="E531" s="1">
        <v>12</v>
      </c>
      <c r="F531" s="2">
        <f>DATE(WeatherData[[#This Row],[Year]],WeatherData[[#This Row],[Month]],WeatherData[[#This Row],[Day]])</f>
        <v>43994</v>
      </c>
      <c r="G531" s="2" t="str">
        <f>TEXT(WeatherData[[#This Row],[Date]], "mmmm")</f>
        <v>June</v>
      </c>
      <c r="H531" s="16">
        <v>0</v>
      </c>
      <c r="I531" s="16">
        <v>15.3</v>
      </c>
      <c r="J531" s="16">
        <v>4.2</v>
      </c>
      <c r="K531" s="6">
        <f t="shared" si="16"/>
        <v>11.100000000000001</v>
      </c>
      <c r="L531" s="4" t="str">
        <f t="shared" si="17"/>
        <v>Normal</v>
      </c>
    </row>
    <row r="532" spans="1:12" ht="18" customHeight="1" x14ac:dyDescent="0.3">
      <c r="A532" s="1">
        <v>86338</v>
      </c>
      <c r="B532" s="1" t="str">
        <f>VLOOKUP( WeatherData[[#This Row],[Station Number]], 'Station Numbers'!A:B,2,FALSE)</f>
        <v xml:space="preserve">Melbourne (Olympic Park) </v>
      </c>
      <c r="C532" s="1">
        <v>2020</v>
      </c>
      <c r="D532" s="1">
        <v>6</v>
      </c>
      <c r="E532" s="1">
        <v>13</v>
      </c>
      <c r="F532" s="2">
        <f>DATE(WeatherData[[#This Row],[Year]],WeatherData[[#This Row],[Month]],WeatherData[[#This Row],[Day]])</f>
        <v>43995</v>
      </c>
      <c r="G532" s="2" t="str">
        <f>TEXT(WeatherData[[#This Row],[Date]], "mmmm")</f>
        <v>June</v>
      </c>
      <c r="H532" s="16">
        <v>0</v>
      </c>
      <c r="I532" s="16">
        <v>16.399999999999999</v>
      </c>
      <c r="J532" s="16">
        <v>5.7</v>
      </c>
      <c r="K532" s="6">
        <f t="shared" si="16"/>
        <v>10.7</v>
      </c>
      <c r="L532" s="4" t="str">
        <f t="shared" si="17"/>
        <v>Normal</v>
      </c>
    </row>
    <row r="533" spans="1:12" ht="18" customHeight="1" x14ac:dyDescent="0.3">
      <c r="A533" s="1">
        <v>86338</v>
      </c>
      <c r="B533" s="1" t="str">
        <f>VLOOKUP( WeatherData[[#This Row],[Station Number]], 'Station Numbers'!A:B,2,FALSE)</f>
        <v xml:space="preserve">Melbourne (Olympic Park) </v>
      </c>
      <c r="C533" s="1">
        <v>2020</v>
      </c>
      <c r="D533" s="1">
        <v>6</v>
      </c>
      <c r="E533" s="1">
        <v>14</v>
      </c>
      <c r="F533" s="2">
        <f>DATE(WeatherData[[#This Row],[Year]],WeatherData[[#This Row],[Month]],WeatherData[[#This Row],[Day]])</f>
        <v>43996</v>
      </c>
      <c r="G533" s="2" t="str">
        <f>TEXT(WeatherData[[#This Row],[Date]], "mmmm")</f>
        <v>June</v>
      </c>
      <c r="H533" s="16">
        <v>5.8</v>
      </c>
      <c r="I533" s="16">
        <v>15.2</v>
      </c>
      <c r="J533" s="16">
        <v>10.4</v>
      </c>
      <c r="K533" s="6">
        <f t="shared" si="16"/>
        <v>4.7999999999999989</v>
      </c>
      <c r="L533" s="4" t="str">
        <f t="shared" si="17"/>
        <v>Normal</v>
      </c>
    </row>
    <row r="534" spans="1:12" ht="18" customHeight="1" x14ac:dyDescent="0.3">
      <c r="A534" s="1">
        <v>86338</v>
      </c>
      <c r="B534" s="1" t="str">
        <f>VLOOKUP( WeatherData[[#This Row],[Station Number]], 'Station Numbers'!A:B,2,FALSE)</f>
        <v xml:space="preserve">Melbourne (Olympic Park) </v>
      </c>
      <c r="C534" s="1">
        <v>2020</v>
      </c>
      <c r="D534" s="1">
        <v>6</v>
      </c>
      <c r="E534" s="1">
        <v>15</v>
      </c>
      <c r="F534" s="2">
        <f>DATE(WeatherData[[#This Row],[Year]],WeatherData[[#This Row],[Month]],WeatherData[[#This Row],[Day]])</f>
        <v>43997</v>
      </c>
      <c r="G534" s="2" t="str">
        <f>TEXT(WeatherData[[#This Row],[Date]], "mmmm")</f>
        <v>June</v>
      </c>
      <c r="H534" s="16">
        <v>0</v>
      </c>
      <c r="I534" s="16">
        <v>18.399999999999999</v>
      </c>
      <c r="J534" s="16">
        <v>11.6</v>
      </c>
      <c r="K534" s="6">
        <f t="shared" si="16"/>
        <v>6.7999999999999989</v>
      </c>
      <c r="L534" s="4" t="str">
        <f t="shared" si="17"/>
        <v>Normal</v>
      </c>
    </row>
    <row r="535" spans="1:12" ht="18" customHeight="1" x14ac:dyDescent="0.3">
      <c r="A535" s="1">
        <v>86338</v>
      </c>
      <c r="B535" s="1" t="str">
        <f>VLOOKUP( WeatherData[[#This Row],[Station Number]], 'Station Numbers'!A:B,2,FALSE)</f>
        <v xml:space="preserve">Melbourne (Olympic Park) </v>
      </c>
      <c r="C535" s="1">
        <v>2020</v>
      </c>
      <c r="D535" s="1">
        <v>6</v>
      </c>
      <c r="E535" s="1">
        <v>16</v>
      </c>
      <c r="F535" s="2">
        <f>DATE(WeatherData[[#This Row],[Year]],WeatherData[[#This Row],[Month]],WeatherData[[#This Row],[Day]])</f>
        <v>43998</v>
      </c>
      <c r="G535" s="2" t="str">
        <f>TEXT(WeatherData[[#This Row],[Date]], "mmmm")</f>
        <v>June</v>
      </c>
      <c r="H535" s="16">
        <v>0</v>
      </c>
      <c r="I535" s="16">
        <v>17.899999999999999</v>
      </c>
      <c r="J535" s="16">
        <v>13</v>
      </c>
      <c r="K535" s="6">
        <f t="shared" si="16"/>
        <v>4.8999999999999986</v>
      </c>
      <c r="L535" s="4" t="str">
        <f t="shared" si="17"/>
        <v>Normal</v>
      </c>
    </row>
    <row r="536" spans="1:12" ht="18" customHeight="1" x14ac:dyDescent="0.3">
      <c r="A536" s="1">
        <v>86338</v>
      </c>
      <c r="B536" s="1" t="str">
        <f>VLOOKUP( WeatherData[[#This Row],[Station Number]], 'Station Numbers'!A:B,2,FALSE)</f>
        <v xml:space="preserve">Melbourne (Olympic Park) </v>
      </c>
      <c r="C536" s="1">
        <v>2020</v>
      </c>
      <c r="D536" s="1">
        <v>6</v>
      </c>
      <c r="E536" s="1">
        <v>17</v>
      </c>
      <c r="F536" s="2">
        <f>DATE(WeatherData[[#This Row],[Year]],WeatherData[[#This Row],[Month]],WeatherData[[#This Row],[Day]])</f>
        <v>43999</v>
      </c>
      <c r="G536" s="2" t="str">
        <f>TEXT(WeatherData[[#This Row],[Date]], "mmmm")</f>
        <v>June</v>
      </c>
      <c r="H536" s="16">
        <v>0.4</v>
      </c>
      <c r="I536" s="16">
        <v>14.6</v>
      </c>
      <c r="J536" s="16">
        <v>10.199999999999999</v>
      </c>
      <c r="K536" s="6">
        <f t="shared" si="16"/>
        <v>4.4000000000000004</v>
      </c>
      <c r="L536" s="4" t="str">
        <f t="shared" si="17"/>
        <v>Normal</v>
      </c>
    </row>
    <row r="537" spans="1:12" ht="18" customHeight="1" x14ac:dyDescent="0.3">
      <c r="A537" s="1">
        <v>86338</v>
      </c>
      <c r="B537" s="1" t="str">
        <f>VLOOKUP( WeatherData[[#This Row],[Station Number]], 'Station Numbers'!A:B,2,FALSE)</f>
        <v xml:space="preserve">Melbourne (Olympic Park) </v>
      </c>
      <c r="C537" s="1">
        <v>2020</v>
      </c>
      <c r="D537" s="1">
        <v>6</v>
      </c>
      <c r="E537" s="1">
        <v>18</v>
      </c>
      <c r="F537" s="2">
        <f>DATE(WeatherData[[#This Row],[Year]],WeatherData[[#This Row],[Month]],WeatherData[[#This Row],[Day]])</f>
        <v>44000</v>
      </c>
      <c r="G537" s="2" t="str">
        <f>TEXT(WeatherData[[#This Row],[Date]], "mmmm")</f>
        <v>June</v>
      </c>
      <c r="H537" s="16">
        <v>0</v>
      </c>
      <c r="I537" s="16">
        <v>16.899999999999999</v>
      </c>
      <c r="J537" s="16">
        <v>4.5999999999999996</v>
      </c>
      <c r="K537" s="6">
        <f t="shared" si="16"/>
        <v>12.299999999999999</v>
      </c>
      <c r="L537" s="4" t="str">
        <f t="shared" si="17"/>
        <v>Normal</v>
      </c>
    </row>
    <row r="538" spans="1:12" ht="18" customHeight="1" x14ac:dyDescent="0.3">
      <c r="A538" s="1">
        <v>86338</v>
      </c>
      <c r="B538" s="1" t="str">
        <f>VLOOKUP( WeatherData[[#This Row],[Station Number]], 'Station Numbers'!A:B,2,FALSE)</f>
        <v xml:space="preserve">Melbourne (Olympic Park) </v>
      </c>
      <c r="C538" s="1">
        <v>2020</v>
      </c>
      <c r="D538" s="1">
        <v>6</v>
      </c>
      <c r="E538" s="1">
        <v>19</v>
      </c>
      <c r="F538" s="2">
        <f>DATE(WeatherData[[#This Row],[Year]],WeatherData[[#This Row],[Month]],WeatherData[[#This Row],[Day]])</f>
        <v>44001</v>
      </c>
      <c r="G538" s="2" t="str">
        <f>TEXT(WeatherData[[#This Row],[Date]], "mmmm")</f>
        <v>June</v>
      </c>
      <c r="H538" s="16">
        <v>0</v>
      </c>
      <c r="I538" s="16">
        <v>17.8</v>
      </c>
      <c r="J538" s="16">
        <v>6.4</v>
      </c>
      <c r="K538" s="6">
        <f t="shared" si="16"/>
        <v>11.4</v>
      </c>
      <c r="L538" s="4" t="str">
        <f t="shared" si="17"/>
        <v>Normal</v>
      </c>
    </row>
    <row r="539" spans="1:12" ht="18" customHeight="1" x14ac:dyDescent="0.3">
      <c r="A539" s="1">
        <v>86338</v>
      </c>
      <c r="B539" s="1" t="str">
        <f>VLOOKUP( WeatherData[[#This Row],[Station Number]], 'Station Numbers'!A:B,2,FALSE)</f>
        <v xml:space="preserve">Melbourne (Olympic Park) </v>
      </c>
      <c r="C539" s="1">
        <v>2020</v>
      </c>
      <c r="D539" s="1">
        <v>6</v>
      </c>
      <c r="E539" s="1">
        <v>20</v>
      </c>
      <c r="F539" s="2">
        <f>DATE(WeatherData[[#This Row],[Year]],WeatherData[[#This Row],[Month]],WeatherData[[#This Row],[Day]])</f>
        <v>44002</v>
      </c>
      <c r="G539" s="2" t="str">
        <f>TEXT(WeatherData[[#This Row],[Date]], "mmmm")</f>
        <v>June</v>
      </c>
      <c r="H539" s="16">
        <v>1.4</v>
      </c>
      <c r="I539" s="16">
        <v>16.899999999999999</v>
      </c>
      <c r="J539" s="16">
        <v>12.8</v>
      </c>
      <c r="K539" s="6">
        <f t="shared" si="16"/>
        <v>4.0999999999999979</v>
      </c>
      <c r="L539" s="4" t="str">
        <f t="shared" si="17"/>
        <v>Normal</v>
      </c>
    </row>
    <row r="540" spans="1:12" ht="18" customHeight="1" x14ac:dyDescent="0.3">
      <c r="A540" s="1">
        <v>86338</v>
      </c>
      <c r="B540" s="1" t="str">
        <f>VLOOKUP( WeatherData[[#This Row],[Station Number]], 'Station Numbers'!A:B,2,FALSE)</f>
        <v xml:space="preserve">Melbourne (Olympic Park) </v>
      </c>
      <c r="C540" s="1">
        <v>2020</v>
      </c>
      <c r="D540" s="1">
        <v>6</v>
      </c>
      <c r="E540" s="1">
        <v>21</v>
      </c>
      <c r="F540" s="2">
        <f>DATE(WeatherData[[#This Row],[Year]],WeatherData[[#This Row],[Month]],WeatherData[[#This Row],[Day]])</f>
        <v>44003</v>
      </c>
      <c r="G540" s="2" t="str">
        <f>TEXT(WeatherData[[#This Row],[Date]], "mmmm")</f>
        <v>June</v>
      </c>
      <c r="H540" s="16">
        <v>0</v>
      </c>
      <c r="I540" s="16">
        <v>12</v>
      </c>
      <c r="J540" s="16">
        <v>6.9</v>
      </c>
      <c r="K540" s="6">
        <f t="shared" si="16"/>
        <v>5.0999999999999996</v>
      </c>
      <c r="L540" s="4" t="str">
        <f t="shared" si="17"/>
        <v>Normal</v>
      </c>
    </row>
    <row r="541" spans="1:12" ht="18" customHeight="1" x14ac:dyDescent="0.3">
      <c r="A541" s="1">
        <v>86338</v>
      </c>
      <c r="B541" s="1" t="str">
        <f>VLOOKUP( WeatherData[[#This Row],[Station Number]], 'Station Numbers'!A:B,2,FALSE)</f>
        <v xml:space="preserve">Melbourne (Olympic Park) </v>
      </c>
      <c r="C541" s="1">
        <v>2020</v>
      </c>
      <c r="D541" s="1">
        <v>6</v>
      </c>
      <c r="E541" s="1">
        <v>22</v>
      </c>
      <c r="F541" s="2">
        <f>DATE(WeatherData[[#This Row],[Year]],WeatherData[[#This Row],[Month]],WeatherData[[#This Row],[Day]])</f>
        <v>44004</v>
      </c>
      <c r="G541" s="2" t="str">
        <f>TEXT(WeatherData[[#This Row],[Date]], "mmmm")</f>
        <v>June</v>
      </c>
      <c r="H541" s="16">
        <v>0</v>
      </c>
      <c r="I541" s="16">
        <v>13</v>
      </c>
      <c r="J541" s="16">
        <v>8.1</v>
      </c>
      <c r="K541" s="6">
        <f t="shared" si="16"/>
        <v>4.9000000000000004</v>
      </c>
      <c r="L541" s="4" t="str">
        <f t="shared" si="17"/>
        <v>Normal</v>
      </c>
    </row>
    <row r="542" spans="1:12" ht="18" customHeight="1" x14ac:dyDescent="0.3">
      <c r="A542" s="1">
        <v>86338</v>
      </c>
      <c r="B542" s="1" t="str">
        <f>VLOOKUP( WeatherData[[#This Row],[Station Number]], 'Station Numbers'!A:B,2,FALSE)</f>
        <v xml:space="preserve">Melbourne (Olympic Park) </v>
      </c>
      <c r="C542" s="1">
        <v>2020</v>
      </c>
      <c r="D542" s="1">
        <v>6</v>
      </c>
      <c r="E542" s="1">
        <v>23</v>
      </c>
      <c r="F542" s="2">
        <f>DATE(WeatherData[[#This Row],[Year]],WeatherData[[#This Row],[Month]],WeatherData[[#This Row],[Day]])</f>
        <v>44005</v>
      </c>
      <c r="G542" s="2" t="str">
        <f>TEXT(WeatherData[[#This Row],[Date]], "mmmm")</f>
        <v>June</v>
      </c>
      <c r="H542" s="16">
        <v>2.2000000000000002</v>
      </c>
      <c r="I542" s="16">
        <v>14.4</v>
      </c>
      <c r="J542" s="16">
        <v>9</v>
      </c>
      <c r="K542" s="6">
        <f t="shared" si="16"/>
        <v>5.4</v>
      </c>
      <c r="L542" s="4" t="str">
        <f t="shared" si="17"/>
        <v>Normal</v>
      </c>
    </row>
    <row r="543" spans="1:12" ht="18" customHeight="1" x14ac:dyDescent="0.3">
      <c r="A543" s="1">
        <v>86338</v>
      </c>
      <c r="B543" s="1" t="str">
        <f>VLOOKUP( WeatherData[[#This Row],[Station Number]], 'Station Numbers'!A:B,2,FALSE)</f>
        <v xml:space="preserve">Melbourne (Olympic Park) </v>
      </c>
      <c r="C543" s="1">
        <v>2020</v>
      </c>
      <c r="D543" s="1">
        <v>6</v>
      </c>
      <c r="E543" s="1">
        <v>24</v>
      </c>
      <c r="F543" s="2">
        <f>DATE(WeatherData[[#This Row],[Year]],WeatherData[[#This Row],[Month]],WeatherData[[#This Row],[Day]])</f>
        <v>44006</v>
      </c>
      <c r="G543" s="2" t="str">
        <f>TEXT(WeatherData[[#This Row],[Date]], "mmmm")</f>
        <v>June</v>
      </c>
      <c r="H543" s="16">
        <v>0.4</v>
      </c>
      <c r="I543" s="16">
        <v>14.9</v>
      </c>
      <c r="J543" s="16">
        <v>10.1</v>
      </c>
      <c r="K543" s="6">
        <f t="shared" si="16"/>
        <v>4.8000000000000007</v>
      </c>
      <c r="L543" s="4" t="str">
        <f t="shared" si="17"/>
        <v>Normal</v>
      </c>
    </row>
    <row r="544" spans="1:12" ht="18" customHeight="1" x14ac:dyDescent="0.3">
      <c r="A544" s="1">
        <v>86338</v>
      </c>
      <c r="B544" s="1" t="str">
        <f>VLOOKUP( WeatherData[[#This Row],[Station Number]], 'Station Numbers'!A:B,2,FALSE)</f>
        <v xml:space="preserve">Melbourne (Olympic Park) </v>
      </c>
      <c r="C544" s="1">
        <v>2020</v>
      </c>
      <c r="D544" s="1">
        <v>6</v>
      </c>
      <c r="E544" s="1">
        <v>25</v>
      </c>
      <c r="F544" s="2">
        <f>DATE(WeatherData[[#This Row],[Year]],WeatherData[[#This Row],[Month]],WeatherData[[#This Row],[Day]])</f>
        <v>44007</v>
      </c>
      <c r="G544" s="2" t="str">
        <f>TEXT(WeatherData[[#This Row],[Date]], "mmmm")</f>
        <v>June</v>
      </c>
      <c r="H544" s="16">
        <v>0</v>
      </c>
      <c r="I544" s="16">
        <v>15.9</v>
      </c>
      <c r="J544" s="16">
        <v>10.199999999999999</v>
      </c>
      <c r="K544" s="6">
        <f t="shared" si="16"/>
        <v>5.7000000000000011</v>
      </c>
      <c r="L544" s="4" t="str">
        <f t="shared" si="17"/>
        <v>Normal</v>
      </c>
    </row>
    <row r="545" spans="1:12" ht="18" customHeight="1" x14ac:dyDescent="0.3">
      <c r="A545" s="1">
        <v>86338</v>
      </c>
      <c r="B545" s="1" t="str">
        <f>VLOOKUP( WeatherData[[#This Row],[Station Number]], 'Station Numbers'!A:B,2,FALSE)</f>
        <v xml:space="preserve">Melbourne (Olympic Park) </v>
      </c>
      <c r="C545" s="1">
        <v>2020</v>
      </c>
      <c r="D545" s="1">
        <v>6</v>
      </c>
      <c r="E545" s="1">
        <v>26</v>
      </c>
      <c r="F545" s="2">
        <f>DATE(WeatherData[[#This Row],[Year]],WeatherData[[#This Row],[Month]],WeatherData[[#This Row],[Day]])</f>
        <v>44008</v>
      </c>
      <c r="G545" s="2" t="str">
        <f>TEXT(WeatherData[[#This Row],[Date]], "mmmm")</f>
        <v>June</v>
      </c>
      <c r="H545" s="16">
        <v>1.2</v>
      </c>
      <c r="I545" s="16">
        <v>13.8</v>
      </c>
      <c r="J545" s="16">
        <v>7.9</v>
      </c>
      <c r="K545" s="6">
        <f t="shared" si="16"/>
        <v>5.9</v>
      </c>
      <c r="L545" s="4" t="str">
        <f t="shared" si="17"/>
        <v>Normal</v>
      </c>
    </row>
    <row r="546" spans="1:12" ht="18" customHeight="1" x14ac:dyDescent="0.3">
      <c r="A546" s="1">
        <v>86338</v>
      </c>
      <c r="B546" s="1" t="str">
        <f>VLOOKUP( WeatherData[[#This Row],[Station Number]], 'Station Numbers'!A:B,2,FALSE)</f>
        <v xml:space="preserve">Melbourne (Olympic Park) </v>
      </c>
      <c r="C546" s="1">
        <v>2020</v>
      </c>
      <c r="D546" s="1">
        <v>6</v>
      </c>
      <c r="E546" s="1">
        <v>27</v>
      </c>
      <c r="F546" s="2">
        <f>DATE(WeatherData[[#This Row],[Year]],WeatherData[[#This Row],[Month]],WeatherData[[#This Row],[Day]])</f>
        <v>44009</v>
      </c>
      <c r="G546" s="2" t="str">
        <f>TEXT(WeatherData[[#This Row],[Date]], "mmmm")</f>
        <v>June</v>
      </c>
      <c r="H546" s="16">
        <v>0</v>
      </c>
      <c r="I546" s="16">
        <v>13.1</v>
      </c>
      <c r="J546" s="16">
        <v>6.2</v>
      </c>
      <c r="K546" s="6">
        <f t="shared" si="16"/>
        <v>6.8999999999999995</v>
      </c>
      <c r="L546" s="4" t="str">
        <f t="shared" si="17"/>
        <v>Normal</v>
      </c>
    </row>
    <row r="547" spans="1:12" ht="18" customHeight="1" x14ac:dyDescent="0.3">
      <c r="A547" s="1">
        <v>86338</v>
      </c>
      <c r="B547" s="1" t="str">
        <f>VLOOKUP( WeatherData[[#This Row],[Station Number]], 'Station Numbers'!A:B,2,FALSE)</f>
        <v xml:space="preserve">Melbourne (Olympic Park) </v>
      </c>
      <c r="C547" s="1">
        <v>2020</v>
      </c>
      <c r="D547" s="1">
        <v>6</v>
      </c>
      <c r="E547" s="1">
        <v>28</v>
      </c>
      <c r="F547" s="2">
        <f>DATE(WeatherData[[#This Row],[Year]],WeatherData[[#This Row],[Month]],WeatherData[[#This Row],[Day]])</f>
        <v>44010</v>
      </c>
      <c r="G547" s="2" t="str">
        <f>TEXT(WeatherData[[#This Row],[Date]], "mmmm")</f>
        <v>June</v>
      </c>
      <c r="H547" s="16">
        <v>0.2</v>
      </c>
      <c r="I547" s="16">
        <v>12.5</v>
      </c>
      <c r="J547" s="16">
        <v>1.7</v>
      </c>
      <c r="K547" s="6">
        <f t="shared" si="16"/>
        <v>10.8</v>
      </c>
      <c r="L547" s="4" t="str">
        <f t="shared" si="17"/>
        <v>Normal</v>
      </c>
    </row>
    <row r="548" spans="1:12" ht="18" customHeight="1" x14ac:dyDescent="0.3">
      <c r="A548" s="1">
        <v>86338</v>
      </c>
      <c r="B548" s="1" t="str">
        <f>VLOOKUP( WeatherData[[#This Row],[Station Number]], 'Station Numbers'!A:B,2,FALSE)</f>
        <v xml:space="preserve">Melbourne (Olympic Park) </v>
      </c>
      <c r="C548" s="1">
        <v>2020</v>
      </c>
      <c r="D548" s="1">
        <v>6</v>
      </c>
      <c r="E548" s="1">
        <v>29</v>
      </c>
      <c r="F548" s="2">
        <f>DATE(WeatherData[[#This Row],[Year]],WeatherData[[#This Row],[Month]],WeatherData[[#This Row],[Day]])</f>
        <v>44011</v>
      </c>
      <c r="G548" s="2" t="str">
        <f>TEXT(WeatherData[[#This Row],[Date]], "mmmm")</f>
        <v>June</v>
      </c>
      <c r="H548" s="16">
        <v>0</v>
      </c>
      <c r="I548" s="16">
        <v>15.4</v>
      </c>
      <c r="J548" s="16">
        <v>2.2000000000000002</v>
      </c>
      <c r="K548" s="6">
        <f t="shared" si="16"/>
        <v>13.2</v>
      </c>
      <c r="L548" s="4" t="str">
        <f t="shared" si="17"/>
        <v>Normal</v>
      </c>
    </row>
    <row r="549" spans="1:12" ht="18" customHeight="1" x14ac:dyDescent="0.3">
      <c r="A549" s="1">
        <v>86338</v>
      </c>
      <c r="B549" s="1" t="str">
        <f>VLOOKUP( WeatherData[[#This Row],[Station Number]], 'Station Numbers'!A:B,2,FALSE)</f>
        <v xml:space="preserve">Melbourne (Olympic Park) </v>
      </c>
      <c r="C549" s="1">
        <v>2020</v>
      </c>
      <c r="D549" s="1">
        <v>6</v>
      </c>
      <c r="E549" s="1">
        <v>30</v>
      </c>
      <c r="F549" s="2">
        <f>DATE(WeatherData[[#This Row],[Year]],WeatherData[[#This Row],[Month]],WeatherData[[#This Row],[Day]])</f>
        <v>44012</v>
      </c>
      <c r="G549" s="2" t="str">
        <f>TEXT(WeatherData[[#This Row],[Date]], "mmmm")</f>
        <v>June</v>
      </c>
      <c r="H549" s="16">
        <v>0</v>
      </c>
      <c r="I549" s="16">
        <v>15.2</v>
      </c>
      <c r="J549" s="16">
        <v>3</v>
      </c>
      <c r="K549" s="6">
        <f t="shared" si="16"/>
        <v>12.2</v>
      </c>
      <c r="L549" s="4" t="str">
        <f t="shared" si="17"/>
        <v>Normal</v>
      </c>
    </row>
    <row r="550" spans="1:12" ht="18" customHeight="1" x14ac:dyDescent="0.3">
      <c r="A550" s="1">
        <v>86338</v>
      </c>
      <c r="B550" s="1" t="str">
        <f>VLOOKUP( WeatherData[[#This Row],[Station Number]], 'Station Numbers'!A:B,2,FALSE)</f>
        <v xml:space="preserve">Melbourne (Olympic Park) </v>
      </c>
      <c r="C550" s="1">
        <v>2020</v>
      </c>
      <c r="D550" s="1">
        <v>7</v>
      </c>
      <c r="E550" s="1">
        <v>1</v>
      </c>
      <c r="F550" s="2">
        <f>DATE(WeatherData[[#This Row],[Year]],WeatherData[[#This Row],[Month]],WeatherData[[#This Row],[Day]])</f>
        <v>44013</v>
      </c>
      <c r="G550" s="2" t="str">
        <f>TEXT(WeatherData[[#This Row],[Date]], "mmmm")</f>
        <v>July</v>
      </c>
      <c r="H550" s="16">
        <v>0</v>
      </c>
      <c r="I550" s="16">
        <v>17.399999999999999</v>
      </c>
      <c r="J550" s="16">
        <v>9.8000000000000007</v>
      </c>
      <c r="K550" s="6">
        <f t="shared" si="16"/>
        <v>7.5999999999999979</v>
      </c>
      <c r="L550" s="4" t="str">
        <f t="shared" si="17"/>
        <v>Normal</v>
      </c>
    </row>
    <row r="551" spans="1:12" ht="18" customHeight="1" x14ac:dyDescent="0.3">
      <c r="A551" s="1">
        <v>86338</v>
      </c>
      <c r="B551" s="1" t="str">
        <f>VLOOKUP( WeatherData[[#This Row],[Station Number]], 'Station Numbers'!A:B,2,FALSE)</f>
        <v xml:space="preserve">Melbourne (Olympic Park) </v>
      </c>
      <c r="C551" s="1">
        <v>2020</v>
      </c>
      <c r="D551" s="1">
        <v>7</v>
      </c>
      <c r="E551" s="1">
        <v>2</v>
      </c>
      <c r="F551" s="2">
        <f>DATE(WeatherData[[#This Row],[Year]],WeatherData[[#This Row],[Month]],WeatherData[[#This Row],[Day]])</f>
        <v>44014</v>
      </c>
      <c r="G551" s="2" t="str">
        <f>TEXT(WeatherData[[#This Row],[Date]], "mmmm")</f>
        <v>July</v>
      </c>
      <c r="H551" s="16">
        <v>1.2</v>
      </c>
      <c r="I551" s="16">
        <v>15.1</v>
      </c>
      <c r="J551" s="16">
        <v>10.199999999999999</v>
      </c>
      <c r="K551" s="6">
        <f t="shared" si="16"/>
        <v>4.9000000000000004</v>
      </c>
      <c r="L551" s="4" t="str">
        <f t="shared" si="17"/>
        <v>Normal</v>
      </c>
    </row>
    <row r="552" spans="1:12" ht="18" customHeight="1" x14ac:dyDescent="0.3">
      <c r="A552" s="1">
        <v>86338</v>
      </c>
      <c r="B552" s="1" t="str">
        <f>VLOOKUP( WeatherData[[#This Row],[Station Number]], 'Station Numbers'!A:B,2,FALSE)</f>
        <v xml:space="preserve">Melbourne (Olympic Park) </v>
      </c>
      <c r="C552" s="1">
        <v>2020</v>
      </c>
      <c r="D552" s="1">
        <v>7</v>
      </c>
      <c r="E552" s="1">
        <v>3</v>
      </c>
      <c r="F552" s="2">
        <f>DATE(WeatherData[[#This Row],[Year]],WeatherData[[#This Row],[Month]],WeatherData[[#This Row],[Day]])</f>
        <v>44015</v>
      </c>
      <c r="G552" s="2" t="str">
        <f>TEXT(WeatherData[[#This Row],[Date]], "mmmm")</f>
        <v>July</v>
      </c>
      <c r="H552" s="16">
        <v>0</v>
      </c>
      <c r="I552" s="16">
        <v>10.3</v>
      </c>
      <c r="J552" s="16">
        <v>7.7</v>
      </c>
      <c r="K552" s="6">
        <f t="shared" si="16"/>
        <v>2.6000000000000005</v>
      </c>
      <c r="L552" s="4" t="str">
        <f t="shared" si="17"/>
        <v>Normal</v>
      </c>
    </row>
    <row r="553" spans="1:12" ht="18" customHeight="1" x14ac:dyDescent="0.3">
      <c r="A553" s="1">
        <v>86338</v>
      </c>
      <c r="B553" s="1" t="str">
        <f>VLOOKUP( WeatherData[[#This Row],[Station Number]], 'Station Numbers'!A:B,2,FALSE)</f>
        <v xml:space="preserve">Melbourne (Olympic Park) </v>
      </c>
      <c r="C553" s="1">
        <v>2020</v>
      </c>
      <c r="D553" s="1">
        <v>7</v>
      </c>
      <c r="E553" s="1">
        <v>4</v>
      </c>
      <c r="F553" s="2">
        <f>DATE(WeatherData[[#This Row],[Year]],WeatherData[[#This Row],[Month]],WeatherData[[#This Row],[Day]])</f>
        <v>44016</v>
      </c>
      <c r="G553" s="2" t="str">
        <f>TEXT(WeatherData[[#This Row],[Date]], "mmmm")</f>
        <v>July</v>
      </c>
      <c r="H553" s="16">
        <v>7.8</v>
      </c>
      <c r="I553" s="16">
        <v>14.5</v>
      </c>
      <c r="J553" s="16">
        <v>6.5</v>
      </c>
      <c r="K553" s="6">
        <f t="shared" si="16"/>
        <v>8</v>
      </c>
      <c r="L553" s="4" t="str">
        <f t="shared" si="17"/>
        <v>Normal</v>
      </c>
    </row>
    <row r="554" spans="1:12" ht="18" customHeight="1" x14ac:dyDescent="0.3">
      <c r="A554" s="1">
        <v>86338</v>
      </c>
      <c r="B554" s="1" t="str">
        <f>VLOOKUP( WeatherData[[#This Row],[Station Number]], 'Station Numbers'!A:B,2,FALSE)</f>
        <v xml:space="preserve">Melbourne (Olympic Park) </v>
      </c>
      <c r="C554" s="1">
        <v>2020</v>
      </c>
      <c r="D554" s="1">
        <v>7</v>
      </c>
      <c r="E554" s="1">
        <v>5</v>
      </c>
      <c r="F554" s="2">
        <f>DATE(WeatherData[[#This Row],[Year]],WeatherData[[#This Row],[Month]],WeatherData[[#This Row],[Day]])</f>
        <v>44017</v>
      </c>
      <c r="G554" s="2" t="str">
        <f>TEXT(WeatherData[[#This Row],[Date]], "mmmm")</f>
        <v>July</v>
      </c>
      <c r="H554" s="16">
        <v>4.5999999999999996</v>
      </c>
      <c r="I554" s="16">
        <v>12.5</v>
      </c>
      <c r="J554" s="16">
        <v>8.9</v>
      </c>
      <c r="K554" s="6">
        <f t="shared" si="16"/>
        <v>3.5999999999999996</v>
      </c>
      <c r="L554" s="4" t="str">
        <f t="shared" si="17"/>
        <v>Normal</v>
      </c>
    </row>
    <row r="555" spans="1:12" ht="18" customHeight="1" x14ac:dyDescent="0.3">
      <c r="A555" s="1">
        <v>86338</v>
      </c>
      <c r="B555" s="1" t="str">
        <f>VLOOKUP( WeatherData[[#This Row],[Station Number]], 'Station Numbers'!A:B,2,FALSE)</f>
        <v xml:space="preserve">Melbourne (Olympic Park) </v>
      </c>
      <c r="C555" s="1">
        <v>2020</v>
      </c>
      <c r="D555" s="1">
        <v>7</v>
      </c>
      <c r="E555" s="1">
        <v>6</v>
      </c>
      <c r="F555" s="2">
        <f>DATE(WeatherData[[#This Row],[Year]],WeatherData[[#This Row],[Month]],WeatherData[[#This Row],[Day]])</f>
        <v>44018</v>
      </c>
      <c r="G555" s="2" t="str">
        <f>TEXT(WeatherData[[#This Row],[Date]], "mmmm")</f>
        <v>July</v>
      </c>
      <c r="H555" s="16">
        <v>1</v>
      </c>
      <c r="I555" s="16">
        <v>13.1</v>
      </c>
      <c r="J555" s="16">
        <v>8.1</v>
      </c>
      <c r="K555" s="6">
        <f t="shared" si="16"/>
        <v>5</v>
      </c>
      <c r="L555" s="4" t="str">
        <f t="shared" si="17"/>
        <v>Normal</v>
      </c>
    </row>
    <row r="556" spans="1:12" ht="18" customHeight="1" x14ac:dyDescent="0.3">
      <c r="A556" s="1">
        <v>86338</v>
      </c>
      <c r="B556" s="1" t="str">
        <f>VLOOKUP( WeatherData[[#This Row],[Station Number]], 'Station Numbers'!A:B,2,FALSE)</f>
        <v xml:space="preserve">Melbourne (Olympic Park) </v>
      </c>
      <c r="C556" s="1">
        <v>2020</v>
      </c>
      <c r="D556" s="1">
        <v>7</v>
      </c>
      <c r="E556" s="1">
        <v>7</v>
      </c>
      <c r="F556" s="2">
        <f>DATE(WeatherData[[#This Row],[Year]],WeatherData[[#This Row],[Month]],WeatherData[[#This Row],[Day]])</f>
        <v>44019</v>
      </c>
      <c r="G556" s="2" t="str">
        <f>TEXT(WeatherData[[#This Row],[Date]], "mmmm")</f>
        <v>July</v>
      </c>
      <c r="H556" s="16">
        <v>1.4</v>
      </c>
      <c r="I556" s="16">
        <v>11.8</v>
      </c>
      <c r="J556" s="16">
        <v>8.9</v>
      </c>
      <c r="K556" s="6">
        <f t="shared" si="16"/>
        <v>2.9000000000000004</v>
      </c>
      <c r="L556" s="4" t="str">
        <f t="shared" si="17"/>
        <v>Normal</v>
      </c>
    </row>
    <row r="557" spans="1:12" ht="18" customHeight="1" x14ac:dyDescent="0.3">
      <c r="A557" s="1">
        <v>86338</v>
      </c>
      <c r="B557" s="1" t="str">
        <f>VLOOKUP( WeatherData[[#This Row],[Station Number]], 'Station Numbers'!A:B,2,FALSE)</f>
        <v xml:space="preserve">Melbourne (Olympic Park) </v>
      </c>
      <c r="C557" s="1">
        <v>2020</v>
      </c>
      <c r="D557" s="1">
        <v>7</v>
      </c>
      <c r="E557" s="1">
        <v>8</v>
      </c>
      <c r="F557" s="2">
        <f>DATE(WeatherData[[#This Row],[Year]],WeatherData[[#This Row],[Month]],WeatherData[[#This Row],[Day]])</f>
        <v>44020</v>
      </c>
      <c r="G557" s="2" t="str">
        <f>TEXT(WeatherData[[#This Row],[Date]], "mmmm")</f>
        <v>July</v>
      </c>
      <c r="H557" s="16">
        <v>0</v>
      </c>
      <c r="I557" s="16">
        <v>15.7</v>
      </c>
      <c r="J557" s="16">
        <v>4.9000000000000004</v>
      </c>
      <c r="K557" s="6">
        <f t="shared" si="16"/>
        <v>10.799999999999999</v>
      </c>
      <c r="L557" s="4" t="str">
        <f t="shared" si="17"/>
        <v>Normal</v>
      </c>
    </row>
    <row r="558" spans="1:12" ht="18" customHeight="1" x14ac:dyDescent="0.3">
      <c r="A558" s="1">
        <v>86338</v>
      </c>
      <c r="B558" s="1" t="str">
        <f>VLOOKUP( WeatherData[[#This Row],[Station Number]], 'Station Numbers'!A:B,2,FALSE)</f>
        <v xml:space="preserve">Melbourne (Olympic Park) </v>
      </c>
      <c r="C558" s="1">
        <v>2020</v>
      </c>
      <c r="D558" s="1">
        <v>7</v>
      </c>
      <c r="E558" s="1">
        <v>9</v>
      </c>
      <c r="F558" s="2">
        <f>DATE(WeatherData[[#This Row],[Year]],WeatherData[[#This Row],[Month]],WeatherData[[#This Row],[Day]])</f>
        <v>44021</v>
      </c>
      <c r="G558" s="2" t="str">
        <f>TEXT(WeatherData[[#This Row],[Date]], "mmmm")</f>
        <v>July</v>
      </c>
      <c r="H558" s="16">
        <v>0</v>
      </c>
      <c r="I558" s="16">
        <v>17.2</v>
      </c>
      <c r="J558" s="16">
        <v>5.7</v>
      </c>
      <c r="K558" s="6">
        <f t="shared" si="16"/>
        <v>11.5</v>
      </c>
      <c r="L558" s="4" t="str">
        <f t="shared" si="17"/>
        <v>Normal</v>
      </c>
    </row>
    <row r="559" spans="1:12" ht="18" customHeight="1" x14ac:dyDescent="0.3">
      <c r="A559" s="1">
        <v>86338</v>
      </c>
      <c r="B559" s="1" t="str">
        <f>VLOOKUP( WeatherData[[#This Row],[Station Number]], 'Station Numbers'!A:B,2,FALSE)</f>
        <v xml:space="preserve">Melbourne (Olympic Park) </v>
      </c>
      <c r="C559" s="1">
        <v>2020</v>
      </c>
      <c r="D559" s="1">
        <v>7</v>
      </c>
      <c r="E559" s="1">
        <v>10</v>
      </c>
      <c r="F559" s="2">
        <f>DATE(WeatherData[[#This Row],[Year]],WeatherData[[#This Row],[Month]],WeatherData[[#This Row],[Day]])</f>
        <v>44022</v>
      </c>
      <c r="G559" s="2" t="str">
        <f>TEXT(WeatherData[[#This Row],[Date]], "mmmm")</f>
        <v>July</v>
      </c>
      <c r="H559" s="16">
        <v>0</v>
      </c>
      <c r="I559" s="16">
        <v>16.899999999999999</v>
      </c>
      <c r="J559" s="16">
        <v>6.4</v>
      </c>
      <c r="K559" s="6">
        <f t="shared" si="16"/>
        <v>10.499999999999998</v>
      </c>
      <c r="L559" s="4" t="str">
        <f t="shared" si="17"/>
        <v>Normal</v>
      </c>
    </row>
    <row r="560" spans="1:12" ht="18" customHeight="1" x14ac:dyDescent="0.3">
      <c r="A560" s="1">
        <v>86338</v>
      </c>
      <c r="B560" s="1" t="str">
        <f>VLOOKUP( WeatherData[[#This Row],[Station Number]], 'Station Numbers'!A:B,2,FALSE)</f>
        <v xml:space="preserve">Melbourne (Olympic Park) </v>
      </c>
      <c r="C560" s="1">
        <v>2020</v>
      </c>
      <c r="D560" s="1">
        <v>7</v>
      </c>
      <c r="E560" s="1">
        <v>11</v>
      </c>
      <c r="F560" s="2">
        <f>DATE(WeatherData[[#This Row],[Year]],WeatherData[[#This Row],[Month]],WeatherData[[#This Row],[Day]])</f>
        <v>44023</v>
      </c>
      <c r="G560" s="2" t="str">
        <f>TEXT(WeatherData[[#This Row],[Date]], "mmmm")</f>
        <v>July</v>
      </c>
      <c r="H560" s="16">
        <v>0</v>
      </c>
      <c r="I560" s="16">
        <v>11.4</v>
      </c>
      <c r="J560" s="16">
        <v>7.3</v>
      </c>
      <c r="K560" s="6">
        <f t="shared" si="16"/>
        <v>4.1000000000000005</v>
      </c>
      <c r="L560" s="4" t="str">
        <f t="shared" si="17"/>
        <v>Normal</v>
      </c>
    </row>
    <row r="561" spans="1:12" ht="18" customHeight="1" x14ac:dyDescent="0.3">
      <c r="A561" s="1">
        <v>86338</v>
      </c>
      <c r="B561" s="1" t="str">
        <f>VLOOKUP( WeatherData[[#This Row],[Station Number]], 'Station Numbers'!A:B,2,FALSE)</f>
        <v xml:space="preserve">Melbourne (Olympic Park) </v>
      </c>
      <c r="C561" s="1">
        <v>2020</v>
      </c>
      <c r="D561" s="1">
        <v>7</v>
      </c>
      <c r="E561" s="1">
        <v>12</v>
      </c>
      <c r="F561" s="2">
        <f>DATE(WeatherData[[#This Row],[Year]],WeatherData[[#This Row],[Month]],WeatherData[[#This Row],[Day]])</f>
        <v>44024</v>
      </c>
      <c r="G561" s="2" t="str">
        <f>TEXT(WeatherData[[#This Row],[Date]], "mmmm")</f>
        <v>July</v>
      </c>
      <c r="H561" s="16">
        <v>6.8</v>
      </c>
      <c r="I561" s="16">
        <v>14.2</v>
      </c>
      <c r="J561" s="16">
        <v>9</v>
      </c>
      <c r="K561" s="6">
        <f t="shared" si="16"/>
        <v>5.1999999999999993</v>
      </c>
      <c r="L561" s="4" t="str">
        <f t="shared" si="17"/>
        <v>Normal</v>
      </c>
    </row>
    <row r="562" spans="1:12" ht="18" customHeight="1" x14ac:dyDescent="0.3">
      <c r="A562" s="1">
        <v>86338</v>
      </c>
      <c r="B562" s="1" t="str">
        <f>VLOOKUP( WeatherData[[#This Row],[Station Number]], 'Station Numbers'!A:B,2,FALSE)</f>
        <v xml:space="preserve">Melbourne (Olympic Park) </v>
      </c>
      <c r="C562" s="1">
        <v>2020</v>
      </c>
      <c r="D562" s="1">
        <v>7</v>
      </c>
      <c r="E562" s="1">
        <v>13</v>
      </c>
      <c r="F562" s="2">
        <f>DATE(WeatherData[[#This Row],[Year]],WeatherData[[#This Row],[Month]],WeatherData[[#This Row],[Day]])</f>
        <v>44025</v>
      </c>
      <c r="G562" s="2" t="str">
        <f>TEXT(WeatherData[[#This Row],[Date]], "mmmm")</f>
        <v>July</v>
      </c>
      <c r="H562" s="16">
        <v>3.4</v>
      </c>
      <c r="I562" s="16">
        <v>15.1</v>
      </c>
      <c r="J562" s="16">
        <v>8.6999999999999993</v>
      </c>
      <c r="K562" s="6">
        <f t="shared" si="16"/>
        <v>6.4</v>
      </c>
      <c r="L562" s="4" t="str">
        <f t="shared" si="17"/>
        <v>Normal</v>
      </c>
    </row>
    <row r="563" spans="1:12" ht="18" customHeight="1" x14ac:dyDescent="0.3">
      <c r="A563" s="1">
        <v>86338</v>
      </c>
      <c r="B563" s="1" t="str">
        <f>VLOOKUP( WeatherData[[#This Row],[Station Number]], 'Station Numbers'!A:B,2,FALSE)</f>
        <v xml:space="preserve">Melbourne (Olympic Park) </v>
      </c>
      <c r="C563" s="1">
        <v>2020</v>
      </c>
      <c r="D563" s="1">
        <v>7</v>
      </c>
      <c r="E563" s="1">
        <v>14</v>
      </c>
      <c r="F563" s="2">
        <f>DATE(WeatherData[[#This Row],[Year]],WeatherData[[#This Row],[Month]],WeatherData[[#This Row],[Day]])</f>
        <v>44026</v>
      </c>
      <c r="G563" s="2" t="str">
        <f>TEXT(WeatherData[[#This Row],[Date]], "mmmm")</f>
        <v>July</v>
      </c>
      <c r="H563" s="16">
        <v>0</v>
      </c>
      <c r="I563" s="16">
        <v>14.2</v>
      </c>
      <c r="J563" s="16">
        <v>7.7</v>
      </c>
      <c r="K563" s="6">
        <f t="shared" si="16"/>
        <v>6.4999999999999991</v>
      </c>
      <c r="L563" s="4" t="str">
        <f t="shared" si="17"/>
        <v>Normal</v>
      </c>
    </row>
    <row r="564" spans="1:12" ht="18" customHeight="1" x14ac:dyDescent="0.3">
      <c r="A564" s="1">
        <v>86338</v>
      </c>
      <c r="B564" s="1" t="str">
        <f>VLOOKUP( WeatherData[[#This Row],[Station Number]], 'Station Numbers'!A:B,2,FALSE)</f>
        <v xml:space="preserve">Melbourne (Olympic Park) </v>
      </c>
      <c r="C564" s="1">
        <v>2020</v>
      </c>
      <c r="D564" s="1">
        <v>7</v>
      </c>
      <c r="E564" s="1">
        <v>15</v>
      </c>
      <c r="F564" s="2">
        <f>DATE(WeatherData[[#This Row],[Year]],WeatherData[[#This Row],[Month]],WeatherData[[#This Row],[Day]])</f>
        <v>44027</v>
      </c>
      <c r="G564" s="2" t="str">
        <f>TEXT(WeatherData[[#This Row],[Date]], "mmmm")</f>
        <v>July</v>
      </c>
      <c r="H564" s="16">
        <v>0.2</v>
      </c>
      <c r="I564" s="16">
        <v>14.7</v>
      </c>
      <c r="J564" s="16">
        <v>6.2</v>
      </c>
      <c r="K564" s="6">
        <f t="shared" si="16"/>
        <v>8.5</v>
      </c>
      <c r="L564" s="4" t="str">
        <f t="shared" si="17"/>
        <v>Normal</v>
      </c>
    </row>
    <row r="565" spans="1:12" ht="18" customHeight="1" x14ac:dyDescent="0.3">
      <c r="A565" s="1">
        <v>86338</v>
      </c>
      <c r="B565" s="1" t="str">
        <f>VLOOKUP( WeatherData[[#This Row],[Station Number]], 'Station Numbers'!A:B,2,FALSE)</f>
        <v xml:space="preserve">Melbourne (Olympic Park) </v>
      </c>
      <c r="C565" s="1">
        <v>2020</v>
      </c>
      <c r="D565" s="1">
        <v>7</v>
      </c>
      <c r="E565" s="1">
        <v>16</v>
      </c>
      <c r="F565" s="2">
        <f>DATE(WeatherData[[#This Row],[Year]],WeatherData[[#This Row],[Month]],WeatherData[[#This Row],[Day]])</f>
        <v>44028</v>
      </c>
      <c r="G565" s="2" t="str">
        <f>TEXT(WeatherData[[#This Row],[Date]], "mmmm")</f>
        <v>July</v>
      </c>
      <c r="H565" s="16">
        <v>0</v>
      </c>
      <c r="I565" s="16">
        <v>11.5</v>
      </c>
      <c r="J565" s="16">
        <v>4.2</v>
      </c>
      <c r="K565" s="6">
        <f t="shared" si="16"/>
        <v>7.3</v>
      </c>
      <c r="L565" s="4" t="str">
        <f t="shared" si="17"/>
        <v>Normal</v>
      </c>
    </row>
    <row r="566" spans="1:12" ht="18" customHeight="1" x14ac:dyDescent="0.3">
      <c r="A566" s="1">
        <v>86338</v>
      </c>
      <c r="B566" s="1" t="str">
        <f>VLOOKUP( WeatherData[[#This Row],[Station Number]], 'Station Numbers'!A:B,2,FALSE)</f>
        <v xml:space="preserve">Melbourne (Olympic Park) </v>
      </c>
      <c r="C566" s="1">
        <v>2020</v>
      </c>
      <c r="D566" s="1">
        <v>7</v>
      </c>
      <c r="E566" s="1">
        <v>17</v>
      </c>
      <c r="F566" s="2">
        <f>DATE(WeatherData[[#This Row],[Year]],WeatherData[[#This Row],[Month]],WeatherData[[#This Row],[Day]])</f>
        <v>44029</v>
      </c>
      <c r="G566" s="2" t="str">
        <f>TEXT(WeatherData[[#This Row],[Date]], "mmmm")</f>
        <v>July</v>
      </c>
      <c r="H566" s="16">
        <v>0</v>
      </c>
      <c r="I566" s="16">
        <v>12.8</v>
      </c>
      <c r="J566" s="16">
        <v>3.1</v>
      </c>
      <c r="K566" s="6">
        <f t="shared" si="16"/>
        <v>9.7000000000000011</v>
      </c>
      <c r="L566" s="4" t="str">
        <f t="shared" si="17"/>
        <v>Normal</v>
      </c>
    </row>
    <row r="567" spans="1:12" ht="18" customHeight="1" x14ac:dyDescent="0.3">
      <c r="A567" s="1">
        <v>86338</v>
      </c>
      <c r="B567" s="1" t="str">
        <f>VLOOKUP( WeatherData[[#This Row],[Station Number]], 'Station Numbers'!A:B,2,FALSE)</f>
        <v xml:space="preserve">Melbourne (Olympic Park) </v>
      </c>
      <c r="C567" s="1">
        <v>2020</v>
      </c>
      <c r="D567" s="1">
        <v>7</v>
      </c>
      <c r="E567" s="1">
        <v>18</v>
      </c>
      <c r="F567" s="2">
        <f>DATE(WeatherData[[#This Row],[Year]],WeatherData[[#This Row],[Month]],WeatherData[[#This Row],[Day]])</f>
        <v>44030</v>
      </c>
      <c r="G567" s="2" t="str">
        <f>TEXT(WeatherData[[#This Row],[Date]], "mmmm")</f>
        <v>July</v>
      </c>
      <c r="H567" s="16">
        <v>0</v>
      </c>
      <c r="I567" s="16">
        <v>12.5</v>
      </c>
      <c r="J567" s="16">
        <v>4</v>
      </c>
      <c r="K567" s="6">
        <f t="shared" si="16"/>
        <v>8.5</v>
      </c>
      <c r="L567" s="4" t="str">
        <f t="shared" si="17"/>
        <v>Normal</v>
      </c>
    </row>
    <row r="568" spans="1:12" ht="18" customHeight="1" x14ac:dyDescent="0.3">
      <c r="A568" s="1">
        <v>86338</v>
      </c>
      <c r="B568" s="1" t="str">
        <f>VLOOKUP( WeatherData[[#This Row],[Station Number]], 'Station Numbers'!A:B,2,FALSE)</f>
        <v xml:space="preserve">Melbourne (Olympic Park) </v>
      </c>
      <c r="C568" s="1">
        <v>2020</v>
      </c>
      <c r="D568" s="1">
        <v>7</v>
      </c>
      <c r="E568" s="1">
        <v>19</v>
      </c>
      <c r="F568" s="2">
        <f>DATE(WeatherData[[#This Row],[Year]],WeatherData[[#This Row],[Month]],WeatherData[[#This Row],[Day]])</f>
        <v>44031</v>
      </c>
      <c r="G568" s="2" t="str">
        <f>TEXT(WeatherData[[#This Row],[Date]], "mmmm")</f>
        <v>July</v>
      </c>
      <c r="H568" s="16">
        <v>0</v>
      </c>
      <c r="I568" s="16">
        <v>15.3</v>
      </c>
      <c r="J568" s="16">
        <v>8.1999999999999993</v>
      </c>
      <c r="K568" s="6">
        <f t="shared" si="16"/>
        <v>7.1000000000000014</v>
      </c>
      <c r="L568" s="4" t="str">
        <f t="shared" si="17"/>
        <v>Normal</v>
      </c>
    </row>
    <row r="569" spans="1:12" ht="18" customHeight="1" x14ac:dyDescent="0.3">
      <c r="A569" s="1">
        <v>86338</v>
      </c>
      <c r="B569" s="1" t="str">
        <f>VLOOKUP( WeatherData[[#This Row],[Station Number]], 'Station Numbers'!A:B,2,FALSE)</f>
        <v xml:space="preserve">Melbourne (Olympic Park) </v>
      </c>
      <c r="C569" s="1">
        <v>2020</v>
      </c>
      <c r="D569" s="1">
        <v>7</v>
      </c>
      <c r="E569" s="1">
        <v>20</v>
      </c>
      <c r="F569" s="2">
        <f>DATE(WeatherData[[#This Row],[Year]],WeatherData[[#This Row],[Month]],WeatherData[[#This Row],[Day]])</f>
        <v>44032</v>
      </c>
      <c r="G569" s="2" t="str">
        <f>TEXT(WeatherData[[#This Row],[Date]], "mmmm")</f>
        <v>July</v>
      </c>
      <c r="H569" s="16">
        <v>0.6</v>
      </c>
      <c r="I569" s="16">
        <v>13.8</v>
      </c>
      <c r="J569" s="16">
        <v>7.6</v>
      </c>
      <c r="K569" s="6">
        <f t="shared" si="16"/>
        <v>6.2000000000000011</v>
      </c>
      <c r="L569" s="4" t="str">
        <f t="shared" si="17"/>
        <v>Normal</v>
      </c>
    </row>
    <row r="570" spans="1:12" ht="18" customHeight="1" x14ac:dyDescent="0.3">
      <c r="A570" s="1">
        <v>86338</v>
      </c>
      <c r="B570" s="1" t="str">
        <f>VLOOKUP( WeatherData[[#This Row],[Station Number]], 'Station Numbers'!A:B,2,FALSE)</f>
        <v xml:space="preserve">Melbourne (Olympic Park) </v>
      </c>
      <c r="C570" s="1">
        <v>2020</v>
      </c>
      <c r="D570" s="1">
        <v>7</v>
      </c>
      <c r="E570" s="1">
        <v>21</v>
      </c>
      <c r="F570" s="2">
        <f>DATE(WeatherData[[#This Row],[Year]],WeatherData[[#This Row],[Month]],WeatherData[[#This Row],[Day]])</f>
        <v>44033</v>
      </c>
      <c r="G570" s="2" t="str">
        <f>TEXT(WeatherData[[#This Row],[Date]], "mmmm")</f>
        <v>July</v>
      </c>
      <c r="H570" s="16">
        <v>0.4</v>
      </c>
      <c r="I570" s="16">
        <v>12.9</v>
      </c>
      <c r="J570" s="16">
        <v>7.2</v>
      </c>
      <c r="K570" s="6">
        <f t="shared" si="16"/>
        <v>5.7</v>
      </c>
      <c r="L570" s="4" t="str">
        <f t="shared" si="17"/>
        <v>Normal</v>
      </c>
    </row>
    <row r="571" spans="1:12" ht="18" customHeight="1" x14ac:dyDescent="0.3">
      <c r="A571" s="1">
        <v>86338</v>
      </c>
      <c r="B571" s="1" t="str">
        <f>VLOOKUP( WeatherData[[#This Row],[Station Number]], 'Station Numbers'!A:B,2,FALSE)</f>
        <v xml:space="preserve">Melbourne (Olympic Park) </v>
      </c>
      <c r="C571" s="1">
        <v>2020</v>
      </c>
      <c r="D571" s="1">
        <v>7</v>
      </c>
      <c r="E571" s="1">
        <v>22</v>
      </c>
      <c r="F571" s="2">
        <f>DATE(WeatherData[[#This Row],[Year]],WeatherData[[#This Row],[Month]],WeatherData[[#This Row],[Day]])</f>
        <v>44034</v>
      </c>
      <c r="G571" s="2" t="str">
        <f>TEXT(WeatherData[[#This Row],[Date]], "mmmm")</f>
        <v>July</v>
      </c>
      <c r="H571" s="16">
        <v>0</v>
      </c>
      <c r="I571" s="16">
        <v>13.3</v>
      </c>
      <c r="J571" s="16">
        <v>8.1</v>
      </c>
      <c r="K571" s="6">
        <f t="shared" si="16"/>
        <v>5.2000000000000011</v>
      </c>
      <c r="L571" s="4" t="str">
        <f t="shared" si="17"/>
        <v>Normal</v>
      </c>
    </row>
    <row r="572" spans="1:12" ht="18" customHeight="1" x14ac:dyDescent="0.3">
      <c r="A572" s="1">
        <v>86338</v>
      </c>
      <c r="B572" s="1" t="str">
        <f>VLOOKUP( WeatherData[[#This Row],[Station Number]], 'Station Numbers'!A:B,2,FALSE)</f>
        <v xml:space="preserve">Melbourne (Olympic Park) </v>
      </c>
      <c r="C572" s="1">
        <v>2020</v>
      </c>
      <c r="D572" s="1">
        <v>7</v>
      </c>
      <c r="E572" s="1">
        <v>23</v>
      </c>
      <c r="F572" s="2">
        <f>DATE(WeatherData[[#This Row],[Year]],WeatherData[[#This Row],[Month]],WeatherData[[#This Row],[Day]])</f>
        <v>44035</v>
      </c>
      <c r="G572" s="2" t="str">
        <f>TEXT(WeatherData[[#This Row],[Date]], "mmmm")</f>
        <v>July</v>
      </c>
      <c r="H572" s="16">
        <v>2.2000000000000002</v>
      </c>
      <c r="I572" s="16">
        <v>12</v>
      </c>
      <c r="J572" s="16">
        <v>8.1</v>
      </c>
      <c r="K572" s="6">
        <f t="shared" si="16"/>
        <v>3.9000000000000004</v>
      </c>
      <c r="L572" s="4" t="str">
        <f t="shared" si="17"/>
        <v>Normal</v>
      </c>
    </row>
    <row r="573" spans="1:12" ht="18" customHeight="1" x14ac:dyDescent="0.3">
      <c r="A573" s="1">
        <v>86338</v>
      </c>
      <c r="B573" s="1" t="str">
        <f>VLOOKUP( WeatherData[[#This Row],[Station Number]], 'Station Numbers'!A:B,2,FALSE)</f>
        <v xml:space="preserve">Melbourne (Olympic Park) </v>
      </c>
      <c r="C573" s="1">
        <v>2020</v>
      </c>
      <c r="D573" s="1">
        <v>7</v>
      </c>
      <c r="E573" s="1">
        <v>24</v>
      </c>
      <c r="F573" s="2">
        <f>DATE(WeatherData[[#This Row],[Year]],WeatherData[[#This Row],[Month]],WeatherData[[#This Row],[Day]])</f>
        <v>44036</v>
      </c>
      <c r="G573" s="2" t="str">
        <f>TEXT(WeatherData[[#This Row],[Date]], "mmmm")</f>
        <v>July</v>
      </c>
      <c r="H573" s="16">
        <v>0</v>
      </c>
      <c r="I573" s="16">
        <v>13.5</v>
      </c>
      <c r="J573" s="16">
        <v>6.1</v>
      </c>
      <c r="K573" s="6">
        <f t="shared" si="16"/>
        <v>7.4</v>
      </c>
      <c r="L573" s="4" t="str">
        <f t="shared" si="17"/>
        <v>Normal</v>
      </c>
    </row>
    <row r="574" spans="1:12" ht="18" customHeight="1" x14ac:dyDescent="0.3">
      <c r="A574" s="1">
        <v>86338</v>
      </c>
      <c r="B574" s="1" t="str">
        <f>VLOOKUP( WeatherData[[#This Row],[Station Number]], 'Station Numbers'!A:B,2,FALSE)</f>
        <v xml:space="preserve">Melbourne (Olympic Park) </v>
      </c>
      <c r="C574" s="1">
        <v>2020</v>
      </c>
      <c r="D574" s="1">
        <v>7</v>
      </c>
      <c r="E574" s="1">
        <v>25</v>
      </c>
      <c r="F574" s="2">
        <f>DATE(WeatherData[[#This Row],[Year]],WeatherData[[#This Row],[Month]],WeatherData[[#This Row],[Day]])</f>
        <v>44037</v>
      </c>
      <c r="G574" s="2" t="str">
        <f>TEXT(WeatherData[[#This Row],[Date]], "mmmm")</f>
        <v>July</v>
      </c>
      <c r="H574" s="16">
        <v>0</v>
      </c>
      <c r="I574" s="16">
        <v>12.2</v>
      </c>
      <c r="J574" s="16">
        <v>4.3</v>
      </c>
      <c r="K574" s="6">
        <f t="shared" si="16"/>
        <v>7.8999999999999995</v>
      </c>
      <c r="L574" s="4" t="str">
        <f t="shared" si="17"/>
        <v>Normal</v>
      </c>
    </row>
    <row r="575" spans="1:12" ht="18" customHeight="1" x14ac:dyDescent="0.3">
      <c r="A575" s="1">
        <v>86338</v>
      </c>
      <c r="B575" s="1" t="str">
        <f>VLOOKUP( WeatherData[[#This Row],[Station Number]], 'Station Numbers'!A:B,2,FALSE)</f>
        <v xml:space="preserve">Melbourne (Olympic Park) </v>
      </c>
      <c r="C575" s="1">
        <v>2020</v>
      </c>
      <c r="D575" s="1">
        <v>7</v>
      </c>
      <c r="E575" s="1">
        <v>26</v>
      </c>
      <c r="F575" s="2">
        <f>DATE(WeatherData[[#This Row],[Year]],WeatherData[[#This Row],[Month]],WeatherData[[#This Row],[Day]])</f>
        <v>44038</v>
      </c>
      <c r="G575" s="2" t="str">
        <f>TEXT(WeatherData[[#This Row],[Date]], "mmmm")</f>
        <v>July</v>
      </c>
      <c r="H575" s="16">
        <v>0</v>
      </c>
      <c r="I575" s="16">
        <v>12.8</v>
      </c>
      <c r="J575" s="16">
        <v>5</v>
      </c>
      <c r="K575" s="6">
        <f t="shared" si="16"/>
        <v>7.8000000000000007</v>
      </c>
      <c r="L575" s="4" t="str">
        <f t="shared" si="17"/>
        <v>Normal</v>
      </c>
    </row>
    <row r="576" spans="1:12" ht="18" customHeight="1" x14ac:dyDescent="0.3">
      <c r="A576" s="1">
        <v>86338</v>
      </c>
      <c r="B576" s="1" t="str">
        <f>VLOOKUP( WeatherData[[#This Row],[Station Number]], 'Station Numbers'!A:B,2,FALSE)</f>
        <v xml:space="preserve">Melbourne (Olympic Park) </v>
      </c>
      <c r="C576" s="1">
        <v>2020</v>
      </c>
      <c r="D576" s="1">
        <v>7</v>
      </c>
      <c r="E576" s="1">
        <v>27</v>
      </c>
      <c r="F576" s="2">
        <f>DATE(WeatherData[[#This Row],[Year]],WeatherData[[#This Row],[Month]],WeatherData[[#This Row],[Day]])</f>
        <v>44039</v>
      </c>
      <c r="G576" s="2" t="str">
        <f>TEXT(WeatherData[[#This Row],[Date]], "mmmm")</f>
        <v>July</v>
      </c>
      <c r="H576" s="16">
        <v>0</v>
      </c>
      <c r="I576" s="16">
        <v>13.5</v>
      </c>
      <c r="J576" s="16">
        <v>7.4</v>
      </c>
      <c r="K576" s="6">
        <f t="shared" si="16"/>
        <v>6.1</v>
      </c>
      <c r="L576" s="4" t="str">
        <f t="shared" si="17"/>
        <v>Normal</v>
      </c>
    </row>
    <row r="577" spans="1:12" ht="18" customHeight="1" x14ac:dyDescent="0.3">
      <c r="A577" s="1">
        <v>86338</v>
      </c>
      <c r="B577" s="1" t="str">
        <f>VLOOKUP( WeatherData[[#This Row],[Station Number]], 'Station Numbers'!A:B,2,FALSE)</f>
        <v xml:space="preserve">Melbourne (Olympic Park) </v>
      </c>
      <c r="C577" s="1">
        <v>2020</v>
      </c>
      <c r="D577" s="1">
        <v>7</v>
      </c>
      <c r="E577" s="1">
        <v>28</v>
      </c>
      <c r="F577" s="2">
        <f>DATE(WeatherData[[#This Row],[Year]],WeatherData[[#This Row],[Month]],WeatherData[[#This Row],[Day]])</f>
        <v>44040</v>
      </c>
      <c r="G577" s="2" t="str">
        <f>TEXT(WeatherData[[#This Row],[Date]], "mmmm")</f>
        <v>July</v>
      </c>
      <c r="H577" s="16">
        <v>0.4</v>
      </c>
      <c r="I577" s="16">
        <v>15.6</v>
      </c>
      <c r="J577" s="16">
        <v>9.6</v>
      </c>
      <c r="K577" s="6">
        <f t="shared" si="16"/>
        <v>6</v>
      </c>
      <c r="L577" s="4" t="str">
        <f t="shared" si="17"/>
        <v>Normal</v>
      </c>
    </row>
    <row r="578" spans="1:12" ht="18" customHeight="1" x14ac:dyDescent="0.3">
      <c r="A578" s="1">
        <v>86338</v>
      </c>
      <c r="B578" s="1" t="str">
        <f>VLOOKUP( WeatherData[[#This Row],[Station Number]], 'Station Numbers'!A:B,2,FALSE)</f>
        <v xml:space="preserve">Melbourne (Olympic Park) </v>
      </c>
      <c r="C578" s="1">
        <v>2020</v>
      </c>
      <c r="D578" s="1">
        <v>7</v>
      </c>
      <c r="E578" s="1">
        <v>29</v>
      </c>
      <c r="F578" s="2">
        <f>DATE(WeatherData[[#This Row],[Year]],WeatherData[[#This Row],[Month]],WeatherData[[#This Row],[Day]])</f>
        <v>44041</v>
      </c>
      <c r="G578" s="2" t="str">
        <f>TEXT(WeatherData[[#This Row],[Date]], "mmmm")</f>
        <v>July</v>
      </c>
      <c r="H578" s="16">
        <v>0</v>
      </c>
      <c r="I578" s="16">
        <v>16.3</v>
      </c>
      <c r="J578" s="16">
        <v>8.6</v>
      </c>
      <c r="K578" s="6">
        <f t="shared" ref="K578:K641" si="18">I578-J578</f>
        <v>7.7000000000000011</v>
      </c>
      <c r="L578" s="4" t="str">
        <f t="shared" ref="L578:L641" si="19">IF(AND(I578&gt;35, H578&gt;20), "Heatwave + Rain",
   IF(I578&gt;35, "Heatwave",
   IF(H578&gt;20, "Heavy Rain",
   IF(I578&lt;10, "Cold",
   "Normal"))))</f>
        <v>Normal</v>
      </c>
    </row>
    <row r="579" spans="1:12" ht="18" customHeight="1" x14ac:dyDescent="0.3">
      <c r="A579" s="1">
        <v>86338</v>
      </c>
      <c r="B579" s="1" t="str">
        <f>VLOOKUP( WeatherData[[#This Row],[Station Number]], 'Station Numbers'!A:B,2,FALSE)</f>
        <v xml:space="preserve">Melbourne (Olympic Park) </v>
      </c>
      <c r="C579" s="1">
        <v>2020</v>
      </c>
      <c r="D579" s="1">
        <v>7</v>
      </c>
      <c r="E579" s="1">
        <v>30</v>
      </c>
      <c r="F579" s="2">
        <f>DATE(WeatherData[[#This Row],[Year]],WeatherData[[#This Row],[Month]],WeatherData[[#This Row],[Day]])</f>
        <v>44042</v>
      </c>
      <c r="G579" s="2" t="str">
        <f>TEXT(WeatherData[[#This Row],[Date]], "mmmm")</f>
        <v>July</v>
      </c>
      <c r="H579" s="16">
        <v>0</v>
      </c>
      <c r="I579" s="16">
        <v>14.2</v>
      </c>
      <c r="J579" s="16">
        <v>8</v>
      </c>
      <c r="K579" s="6">
        <f t="shared" si="18"/>
        <v>6.1999999999999993</v>
      </c>
      <c r="L579" s="4" t="str">
        <f t="shared" si="19"/>
        <v>Normal</v>
      </c>
    </row>
    <row r="580" spans="1:12" ht="18" customHeight="1" x14ac:dyDescent="0.3">
      <c r="A580" s="1">
        <v>86338</v>
      </c>
      <c r="B580" s="1" t="str">
        <f>VLOOKUP( WeatherData[[#This Row],[Station Number]], 'Station Numbers'!A:B,2,FALSE)</f>
        <v xml:space="preserve">Melbourne (Olympic Park) </v>
      </c>
      <c r="C580" s="1">
        <v>2020</v>
      </c>
      <c r="D580" s="1">
        <v>7</v>
      </c>
      <c r="E580" s="1">
        <v>31</v>
      </c>
      <c r="F580" s="2">
        <f>DATE(WeatherData[[#This Row],[Year]],WeatherData[[#This Row],[Month]],WeatherData[[#This Row],[Day]])</f>
        <v>44043</v>
      </c>
      <c r="G580" s="2" t="str">
        <f>TEXT(WeatherData[[#This Row],[Date]], "mmmm")</f>
        <v>July</v>
      </c>
      <c r="H580" s="16">
        <v>0</v>
      </c>
      <c r="I580" s="16">
        <v>17.100000000000001</v>
      </c>
      <c r="J580" s="16">
        <v>3.4</v>
      </c>
      <c r="K580" s="6">
        <f t="shared" si="18"/>
        <v>13.700000000000001</v>
      </c>
      <c r="L580" s="4" t="str">
        <f t="shared" si="19"/>
        <v>Normal</v>
      </c>
    </row>
    <row r="581" spans="1:12" ht="18" customHeight="1" x14ac:dyDescent="0.3">
      <c r="A581" s="1">
        <v>86338</v>
      </c>
      <c r="B581" s="1" t="str">
        <f>VLOOKUP( WeatherData[[#This Row],[Station Number]], 'Station Numbers'!A:B,2,FALSE)</f>
        <v xml:space="preserve">Melbourne (Olympic Park) </v>
      </c>
      <c r="C581" s="1">
        <v>2020</v>
      </c>
      <c r="D581" s="1">
        <v>8</v>
      </c>
      <c r="E581" s="1">
        <v>1</v>
      </c>
      <c r="F581" s="2">
        <f>DATE(WeatherData[[#This Row],[Year]],WeatherData[[#This Row],[Month]],WeatherData[[#This Row],[Day]])</f>
        <v>44044</v>
      </c>
      <c r="G581" s="2" t="str">
        <f>TEXT(WeatherData[[#This Row],[Date]], "mmmm")</f>
        <v>August</v>
      </c>
      <c r="H581" s="16">
        <v>0</v>
      </c>
      <c r="I581" s="16">
        <v>16.399999999999999</v>
      </c>
      <c r="J581" s="16">
        <v>5.7</v>
      </c>
      <c r="K581" s="6">
        <f t="shared" si="18"/>
        <v>10.7</v>
      </c>
      <c r="L581" s="4" t="str">
        <f t="shared" si="19"/>
        <v>Normal</v>
      </c>
    </row>
    <row r="582" spans="1:12" ht="18" customHeight="1" x14ac:dyDescent="0.3">
      <c r="A582" s="1">
        <v>86338</v>
      </c>
      <c r="B582" s="1" t="str">
        <f>VLOOKUP( WeatherData[[#This Row],[Station Number]], 'Station Numbers'!A:B,2,FALSE)</f>
        <v xml:space="preserve">Melbourne (Olympic Park) </v>
      </c>
      <c r="C582" s="1">
        <v>2020</v>
      </c>
      <c r="D582" s="1">
        <v>8</v>
      </c>
      <c r="E582" s="1">
        <v>2</v>
      </c>
      <c r="F582" s="2">
        <f>DATE(WeatherData[[#This Row],[Year]],WeatherData[[#This Row],[Month]],WeatherData[[#This Row],[Day]])</f>
        <v>44045</v>
      </c>
      <c r="G582" s="2" t="str">
        <f>TEXT(WeatherData[[#This Row],[Date]], "mmmm")</f>
        <v>August</v>
      </c>
      <c r="H582" s="16">
        <v>0</v>
      </c>
      <c r="I582" s="16">
        <v>18.2</v>
      </c>
      <c r="J582" s="16">
        <v>9</v>
      </c>
      <c r="K582" s="6">
        <f t="shared" si="18"/>
        <v>9.1999999999999993</v>
      </c>
      <c r="L582" s="4" t="str">
        <f t="shared" si="19"/>
        <v>Normal</v>
      </c>
    </row>
    <row r="583" spans="1:12" ht="18" customHeight="1" x14ac:dyDescent="0.3">
      <c r="A583" s="1">
        <v>86338</v>
      </c>
      <c r="B583" s="1" t="str">
        <f>VLOOKUP( WeatherData[[#This Row],[Station Number]], 'Station Numbers'!A:B,2,FALSE)</f>
        <v xml:space="preserve">Melbourne (Olympic Park) </v>
      </c>
      <c r="C583" s="1">
        <v>2020</v>
      </c>
      <c r="D583" s="1">
        <v>8</v>
      </c>
      <c r="E583" s="1">
        <v>3</v>
      </c>
      <c r="F583" s="2">
        <f>DATE(WeatherData[[#This Row],[Year]],WeatherData[[#This Row],[Month]],WeatherData[[#This Row],[Day]])</f>
        <v>44046</v>
      </c>
      <c r="G583" s="2" t="str">
        <f>TEXT(WeatherData[[#This Row],[Date]], "mmmm")</f>
        <v>August</v>
      </c>
      <c r="H583" s="16">
        <v>0</v>
      </c>
      <c r="I583" s="16">
        <v>16</v>
      </c>
      <c r="J583" s="16">
        <v>7.5</v>
      </c>
      <c r="K583" s="6">
        <f t="shared" si="18"/>
        <v>8.5</v>
      </c>
      <c r="L583" s="4" t="str">
        <f t="shared" si="19"/>
        <v>Normal</v>
      </c>
    </row>
    <row r="584" spans="1:12" ht="18" customHeight="1" x14ac:dyDescent="0.3">
      <c r="A584" s="1">
        <v>86338</v>
      </c>
      <c r="B584" s="1" t="str">
        <f>VLOOKUP( WeatherData[[#This Row],[Station Number]], 'Station Numbers'!A:B,2,FALSE)</f>
        <v xml:space="preserve">Melbourne (Olympic Park) </v>
      </c>
      <c r="C584" s="1">
        <v>2020</v>
      </c>
      <c r="D584" s="1">
        <v>8</v>
      </c>
      <c r="E584" s="1">
        <v>4</v>
      </c>
      <c r="F584" s="2">
        <f>DATE(WeatherData[[#This Row],[Year]],WeatherData[[#This Row],[Month]],WeatherData[[#This Row],[Day]])</f>
        <v>44047</v>
      </c>
      <c r="G584" s="2" t="str">
        <f>TEXT(WeatherData[[#This Row],[Date]], "mmmm")</f>
        <v>August</v>
      </c>
      <c r="H584" s="16">
        <v>1.2</v>
      </c>
      <c r="I584" s="16">
        <v>10.5</v>
      </c>
      <c r="J584" s="16">
        <v>5.0999999999999996</v>
      </c>
      <c r="K584" s="6">
        <f t="shared" si="18"/>
        <v>5.4</v>
      </c>
      <c r="L584" s="4" t="str">
        <f t="shared" si="19"/>
        <v>Normal</v>
      </c>
    </row>
    <row r="585" spans="1:12" ht="18" customHeight="1" x14ac:dyDescent="0.3">
      <c r="A585" s="1">
        <v>86338</v>
      </c>
      <c r="B585" s="1" t="str">
        <f>VLOOKUP( WeatherData[[#This Row],[Station Number]], 'Station Numbers'!A:B,2,FALSE)</f>
        <v xml:space="preserve">Melbourne (Olympic Park) </v>
      </c>
      <c r="C585" s="1">
        <v>2020</v>
      </c>
      <c r="D585" s="1">
        <v>8</v>
      </c>
      <c r="E585" s="1">
        <v>5</v>
      </c>
      <c r="F585" s="2">
        <f>DATE(WeatherData[[#This Row],[Year]],WeatherData[[#This Row],[Month]],WeatherData[[#This Row],[Day]])</f>
        <v>44048</v>
      </c>
      <c r="G585" s="2" t="str">
        <f>TEXT(WeatherData[[#This Row],[Date]], "mmmm")</f>
        <v>August</v>
      </c>
      <c r="H585" s="16">
        <v>5.8</v>
      </c>
      <c r="I585" s="16">
        <v>11.3</v>
      </c>
      <c r="J585" s="16">
        <v>4.7</v>
      </c>
      <c r="K585" s="6">
        <f t="shared" si="18"/>
        <v>6.6000000000000005</v>
      </c>
      <c r="L585" s="4" t="str">
        <f t="shared" si="19"/>
        <v>Normal</v>
      </c>
    </row>
    <row r="586" spans="1:12" ht="18" customHeight="1" x14ac:dyDescent="0.3">
      <c r="A586" s="1">
        <v>86338</v>
      </c>
      <c r="B586" s="1" t="str">
        <f>VLOOKUP( WeatherData[[#This Row],[Station Number]], 'Station Numbers'!A:B,2,FALSE)</f>
        <v xml:space="preserve">Melbourne (Olympic Park) </v>
      </c>
      <c r="C586" s="1">
        <v>2020</v>
      </c>
      <c r="D586" s="1">
        <v>8</v>
      </c>
      <c r="E586" s="1">
        <v>6</v>
      </c>
      <c r="F586" s="2">
        <f>DATE(WeatherData[[#This Row],[Year]],WeatherData[[#This Row],[Month]],WeatherData[[#This Row],[Day]])</f>
        <v>44049</v>
      </c>
      <c r="G586" s="2" t="str">
        <f>TEXT(WeatherData[[#This Row],[Date]], "mmmm")</f>
        <v>August</v>
      </c>
      <c r="H586" s="16">
        <v>0.8</v>
      </c>
      <c r="I586" s="16">
        <v>12.8</v>
      </c>
      <c r="J586" s="16">
        <v>5.5</v>
      </c>
      <c r="K586" s="6">
        <f t="shared" si="18"/>
        <v>7.3000000000000007</v>
      </c>
      <c r="L586" s="4" t="str">
        <f t="shared" si="19"/>
        <v>Normal</v>
      </c>
    </row>
    <row r="587" spans="1:12" ht="18" customHeight="1" x14ac:dyDescent="0.3">
      <c r="A587" s="1">
        <v>86338</v>
      </c>
      <c r="B587" s="1" t="str">
        <f>VLOOKUP( WeatherData[[#This Row],[Station Number]], 'Station Numbers'!A:B,2,FALSE)</f>
        <v xml:space="preserve">Melbourne (Olympic Park) </v>
      </c>
      <c r="C587" s="1">
        <v>2020</v>
      </c>
      <c r="D587" s="1">
        <v>8</v>
      </c>
      <c r="E587" s="1">
        <v>7</v>
      </c>
      <c r="F587" s="2">
        <f>DATE(WeatherData[[#This Row],[Year]],WeatherData[[#This Row],[Month]],WeatherData[[#This Row],[Day]])</f>
        <v>44050</v>
      </c>
      <c r="G587" s="2" t="str">
        <f>TEXT(WeatherData[[#This Row],[Date]], "mmmm")</f>
        <v>August</v>
      </c>
      <c r="H587" s="16">
        <v>0</v>
      </c>
      <c r="I587" s="16">
        <v>12.7</v>
      </c>
      <c r="J587" s="16">
        <v>3.3</v>
      </c>
      <c r="K587" s="6">
        <f t="shared" si="18"/>
        <v>9.3999999999999986</v>
      </c>
      <c r="L587" s="4" t="str">
        <f t="shared" si="19"/>
        <v>Normal</v>
      </c>
    </row>
    <row r="588" spans="1:12" ht="18" customHeight="1" x14ac:dyDescent="0.3">
      <c r="A588" s="1">
        <v>86338</v>
      </c>
      <c r="B588" s="1" t="str">
        <f>VLOOKUP( WeatherData[[#This Row],[Station Number]], 'Station Numbers'!A:B,2,FALSE)</f>
        <v xml:space="preserve">Melbourne (Olympic Park) </v>
      </c>
      <c r="C588" s="1">
        <v>2020</v>
      </c>
      <c r="D588" s="1">
        <v>8</v>
      </c>
      <c r="E588" s="1">
        <v>8</v>
      </c>
      <c r="F588" s="2">
        <f>DATE(WeatherData[[#This Row],[Year]],WeatherData[[#This Row],[Month]],WeatherData[[#This Row],[Day]])</f>
        <v>44051</v>
      </c>
      <c r="G588" s="2" t="str">
        <f>TEXT(WeatherData[[#This Row],[Date]], "mmmm")</f>
        <v>August</v>
      </c>
      <c r="H588" s="16">
        <v>6.8</v>
      </c>
      <c r="I588" s="16">
        <v>14.9</v>
      </c>
      <c r="J588" s="16">
        <v>4.7</v>
      </c>
      <c r="K588" s="6">
        <f t="shared" si="18"/>
        <v>10.199999999999999</v>
      </c>
      <c r="L588" s="4" t="str">
        <f t="shared" si="19"/>
        <v>Normal</v>
      </c>
    </row>
    <row r="589" spans="1:12" ht="18" customHeight="1" x14ac:dyDescent="0.3">
      <c r="A589" s="1">
        <v>86338</v>
      </c>
      <c r="B589" s="1" t="str">
        <f>VLOOKUP( WeatherData[[#This Row],[Station Number]], 'Station Numbers'!A:B,2,FALSE)</f>
        <v xml:space="preserve">Melbourne (Olympic Park) </v>
      </c>
      <c r="C589" s="1">
        <v>2020</v>
      </c>
      <c r="D589" s="1">
        <v>8</v>
      </c>
      <c r="E589" s="1">
        <v>9</v>
      </c>
      <c r="F589" s="2">
        <f>DATE(WeatherData[[#This Row],[Year]],WeatherData[[#This Row],[Month]],WeatherData[[#This Row],[Day]])</f>
        <v>44052</v>
      </c>
      <c r="G589" s="2" t="str">
        <f>TEXT(WeatherData[[#This Row],[Date]], "mmmm")</f>
        <v>August</v>
      </c>
      <c r="H589" s="16">
        <v>0.2</v>
      </c>
      <c r="I589" s="16">
        <v>15.8</v>
      </c>
      <c r="J589" s="16">
        <v>8.9</v>
      </c>
      <c r="K589" s="6">
        <f t="shared" si="18"/>
        <v>6.9</v>
      </c>
      <c r="L589" s="4" t="str">
        <f t="shared" si="19"/>
        <v>Normal</v>
      </c>
    </row>
    <row r="590" spans="1:12" ht="18" customHeight="1" x14ac:dyDescent="0.3">
      <c r="A590" s="1">
        <v>86338</v>
      </c>
      <c r="B590" s="1" t="str">
        <f>VLOOKUP( WeatherData[[#This Row],[Station Number]], 'Station Numbers'!A:B,2,FALSE)</f>
        <v xml:space="preserve">Melbourne (Olympic Park) </v>
      </c>
      <c r="C590" s="1">
        <v>2020</v>
      </c>
      <c r="D590" s="1">
        <v>8</v>
      </c>
      <c r="E590" s="1">
        <v>10</v>
      </c>
      <c r="F590" s="2">
        <f>DATE(WeatherData[[#This Row],[Year]],WeatherData[[#This Row],[Month]],WeatherData[[#This Row],[Day]])</f>
        <v>44053</v>
      </c>
      <c r="G590" s="2" t="str">
        <f>TEXT(WeatherData[[#This Row],[Date]], "mmmm")</f>
        <v>August</v>
      </c>
      <c r="H590" s="16">
        <v>0</v>
      </c>
      <c r="I590" s="16">
        <v>14.8</v>
      </c>
      <c r="J590" s="16">
        <v>5.7</v>
      </c>
      <c r="K590" s="6">
        <f t="shared" si="18"/>
        <v>9.1000000000000014</v>
      </c>
      <c r="L590" s="4" t="str">
        <f t="shared" si="19"/>
        <v>Normal</v>
      </c>
    </row>
    <row r="591" spans="1:12" ht="18" customHeight="1" x14ac:dyDescent="0.3">
      <c r="A591" s="1">
        <v>86338</v>
      </c>
      <c r="B591" s="1" t="str">
        <f>VLOOKUP( WeatherData[[#This Row],[Station Number]], 'Station Numbers'!A:B,2,FALSE)</f>
        <v xml:space="preserve">Melbourne (Olympic Park) </v>
      </c>
      <c r="C591" s="1">
        <v>2020</v>
      </c>
      <c r="D591" s="1">
        <v>8</v>
      </c>
      <c r="E591" s="1">
        <v>11</v>
      </c>
      <c r="F591" s="2">
        <f>DATE(WeatherData[[#This Row],[Year]],WeatherData[[#This Row],[Month]],WeatherData[[#This Row],[Day]])</f>
        <v>44054</v>
      </c>
      <c r="G591" s="2" t="str">
        <f>TEXT(WeatherData[[#This Row],[Date]], "mmmm")</f>
        <v>August</v>
      </c>
      <c r="H591" s="16">
        <v>0</v>
      </c>
      <c r="I591" s="16">
        <v>15.8</v>
      </c>
      <c r="J591" s="16">
        <v>4.3</v>
      </c>
      <c r="K591" s="6">
        <f t="shared" si="18"/>
        <v>11.5</v>
      </c>
      <c r="L591" s="4" t="str">
        <f t="shared" si="19"/>
        <v>Normal</v>
      </c>
    </row>
    <row r="592" spans="1:12" ht="18" customHeight="1" x14ac:dyDescent="0.3">
      <c r="A592" s="1">
        <v>86338</v>
      </c>
      <c r="B592" s="1" t="str">
        <f>VLOOKUP( WeatherData[[#This Row],[Station Number]], 'Station Numbers'!A:B,2,FALSE)</f>
        <v xml:space="preserve">Melbourne (Olympic Park) </v>
      </c>
      <c r="C592" s="1">
        <v>2020</v>
      </c>
      <c r="D592" s="1">
        <v>8</v>
      </c>
      <c r="E592" s="1">
        <v>12</v>
      </c>
      <c r="F592" s="2">
        <f>DATE(WeatherData[[#This Row],[Year]],WeatherData[[#This Row],[Month]],WeatherData[[#This Row],[Day]])</f>
        <v>44055</v>
      </c>
      <c r="G592" s="2" t="str">
        <f>TEXT(WeatherData[[#This Row],[Date]], "mmmm")</f>
        <v>August</v>
      </c>
      <c r="H592" s="16">
        <v>0.8</v>
      </c>
      <c r="I592" s="16">
        <v>15.9</v>
      </c>
      <c r="J592" s="16">
        <v>9.4</v>
      </c>
      <c r="K592" s="6">
        <f t="shared" si="18"/>
        <v>6.5</v>
      </c>
      <c r="L592" s="4" t="str">
        <f t="shared" si="19"/>
        <v>Normal</v>
      </c>
    </row>
    <row r="593" spans="1:12" ht="18" customHeight="1" x14ac:dyDescent="0.3">
      <c r="A593" s="1">
        <v>86338</v>
      </c>
      <c r="B593" s="1" t="str">
        <f>VLOOKUP( WeatherData[[#This Row],[Station Number]], 'Station Numbers'!A:B,2,FALSE)</f>
        <v xml:space="preserve">Melbourne (Olympic Park) </v>
      </c>
      <c r="C593" s="1">
        <v>2020</v>
      </c>
      <c r="D593" s="1">
        <v>8</v>
      </c>
      <c r="E593" s="1">
        <v>13</v>
      </c>
      <c r="F593" s="2">
        <f>DATE(WeatherData[[#This Row],[Year]],WeatherData[[#This Row],[Month]],WeatherData[[#This Row],[Day]])</f>
        <v>44056</v>
      </c>
      <c r="G593" s="2" t="str">
        <f>TEXT(WeatherData[[#This Row],[Date]], "mmmm")</f>
        <v>August</v>
      </c>
      <c r="H593" s="16">
        <v>1.2</v>
      </c>
      <c r="I593" s="16">
        <v>18.100000000000001</v>
      </c>
      <c r="J593" s="16">
        <v>11.4</v>
      </c>
      <c r="K593" s="6">
        <f t="shared" si="18"/>
        <v>6.7000000000000011</v>
      </c>
      <c r="L593" s="4" t="str">
        <f t="shared" si="19"/>
        <v>Normal</v>
      </c>
    </row>
    <row r="594" spans="1:12" ht="18" customHeight="1" x14ac:dyDescent="0.3">
      <c r="A594" s="1">
        <v>86338</v>
      </c>
      <c r="B594" s="1" t="str">
        <f>VLOOKUP( WeatherData[[#This Row],[Station Number]], 'Station Numbers'!A:B,2,FALSE)</f>
        <v xml:space="preserve">Melbourne (Olympic Park) </v>
      </c>
      <c r="C594" s="1">
        <v>2020</v>
      </c>
      <c r="D594" s="1">
        <v>8</v>
      </c>
      <c r="E594" s="1">
        <v>14</v>
      </c>
      <c r="F594" s="2">
        <f>DATE(WeatherData[[#This Row],[Year]],WeatherData[[#This Row],[Month]],WeatherData[[#This Row],[Day]])</f>
        <v>44057</v>
      </c>
      <c r="G594" s="2" t="str">
        <f>TEXT(WeatherData[[#This Row],[Date]], "mmmm")</f>
        <v>August</v>
      </c>
      <c r="H594" s="16">
        <v>0.8</v>
      </c>
      <c r="I594" s="16">
        <v>18.100000000000001</v>
      </c>
      <c r="J594" s="16">
        <v>10.7</v>
      </c>
      <c r="K594" s="6">
        <f t="shared" si="18"/>
        <v>7.4000000000000021</v>
      </c>
      <c r="L594" s="4" t="str">
        <f t="shared" si="19"/>
        <v>Normal</v>
      </c>
    </row>
    <row r="595" spans="1:12" ht="18" customHeight="1" x14ac:dyDescent="0.3">
      <c r="A595" s="1">
        <v>86338</v>
      </c>
      <c r="B595" s="1" t="str">
        <f>VLOOKUP( WeatherData[[#This Row],[Station Number]], 'Station Numbers'!A:B,2,FALSE)</f>
        <v xml:space="preserve">Melbourne (Olympic Park) </v>
      </c>
      <c r="C595" s="1">
        <v>2020</v>
      </c>
      <c r="D595" s="1">
        <v>8</v>
      </c>
      <c r="E595" s="1">
        <v>15</v>
      </c>
      <c r="F595" s="2">
        <f>DATE(WeatherData[[#This Row],[Year]],WeatherData[[#This Row],[Month]],WeatherData[[#This Row],[Day]])</f>
        <v>44058</v>
      </c>
      <c r="G595" s="2" t="str">
        <f>TEXT(WeatherData[[#This Row],[Date]], "mmmm")</f>
        <v>August</v>
      </c>
      <c r="H595" s="16">
        <v>2.8</v>
      </c>
      <c r="I595" s="16">
        <v>14.9</v>
      </c>
      <c r="J595" s="16">
        <v>7.4</v>
      </c>
      <c r="K595" s="6">
        <f t="shared" si="18"/>
        <v>7.5</v>
      </c>
      <c r="L595" s="4" t="str">
        <f t="shared" si="19"/>
        <v>Normal</v>
      </c>
    </row>
    <row r="596" spans="1:12" ht="18" customHeight="1" x14ac:dyDescent="0.3">
      <c r="A596" s="1">
        <v>86338</v>
      </c>
      <c r="B596" s="1" t="str">
        <f>VLOOKUP( WeatherData[[#This Row],[Station Number]], 'Station Numbers'!A:B,2,FALSE)</f>
        <v xml:space="preserve">Melbourne (Olympic Park) </v>
      </c>
      <c r="C596" s="1">
        <v>2020</v>
      </c>
      <c r="D596" s="1">
        <v>8</v>
      </c>
      <c r="E596" s="1">
        <v>16</v>
      </c>
      <c r="F596" s="2">
        <f>DATE(WeatherData[[#This Row],[Year]],WeatherData[[#This Row],[Month]],WeatherData[[#This Row],[Day]])</f>
        <v>44059</v>
      </c>
      <c r="G596" s="2" t="str">
        <f>TEXT(WeatherData[[#This Row],[Date]], "mmmm")</f>
        <v>August</v>
      </c>
      <c r="H596" s="16">
        <v>0.4</v>
      </c>
      <c r="I596" s="16">
        <v>15</v>
      </c>
      <c r="J596" s="16">
        <v>10.7</v>
      </c>
      <c r="K596" s="6">
        <f t="shared" si="18"/>
        <v>4.3000000000000007</v>
      </c>
      <c r="L596" s="4" t="str">
        <f t="shared" si="19"/>
        <v>Normal</v>
      </c>
    </row>
    <row r="597" spans="1:12" ht="18" customHeight="1" x14ac:dyDescent="0.3">
      <c r="A597" s="1">
        <v>86338</v>
      </c>
      <c r="B597" s="1" t="str">
        <f>VLOOKUP( WeatherData[[#This Row],[Station Number]], 'Station Numbers'!A:B,2,FALSE)</f>
        <v xml:space="preserve">Melbourne (Olympic Park) </v>
      </c>
      <c r="C597" s="1">
        <v>2020</v>
      </c>
      <c r="D597" s="1">
        <v>8</v>
      </c>
      <c r="E597" s="1">
        <v>17</v>
      </c>
      <c r="F597" s="2">
        <f>DATE(WeatherData[[#This Row],[Year]],WeatherData[[#This Row],[Month]],WeatherData[[#This Row],[Day]])</f>
        <v>44060</v>
      </c>
      <c r="G597" s="2" t="str">
        <f>TEXT(WeatherData[[#This Row],[Date]], "mmmm")</f>
        <v>August</v>
      </c>
      <c r="H597" s="16">
        <v>0</v>
      </c>
      <c r="I597" s="16">
        <v>16.3</v>
      </c>
      <c r="J597" s="16">
        <v>9.5</v>
      </c>
      <c r="K597" s="6">
        <f t="shared" si="18"/>
        <v>6.8000000000000007</v>
      </c>
      <c r="L597" s="4" t="str">
        <f t="shared" si="19"/>
        <v>Normal</v>
      </c>
    </row>
    <row r="598" spans="1:12" ht="18" customHeight="1" x14ac:dyDescent="0.3">
      <c r="A598" s="1">
        <v>86338</v>
      </c>
      <c r="B598" s="1" t="str">
        <f>VLOOKUP( WeatherData[[#This Row],[Station Number]], 'Station Numbers'!A:B,2,FALSE)</f>
        <v xml:space="preserve">Melbourne (Olympic Park) </v>
      </c>
      <c r="C598" s="1">
        <v>2020</v>
      </c>
      <c r="D598" s="1">
        <v>8</v>
      </c>
      <c r="E598" s="1">
        <v>18</v>
      </c>
      <c r="F598" s="2">
        <f>DATE(WeatherData[[#This Row],[Year]],WeatherData[[#This Row],[Month]],WeatherData[[#This Row],[Day]])</f>
        <v>44061</v>
      </c>
      <c r="G598" s="2" t="str">
        <f>TEXT(WeatherData[[#This Row],[Date]], "mmmm")</f>
        <v>August</v>
      </c>
      <c r="H598" s="16">
        <v>0.2</v>
      </c>
      <c r="I598" s="16">
        <v>17.2</v>
      </c>
      <c r="J598" s="16">
        <v>10</v>
      </c>
      <c r="K598" s="6">
        <f t="shared" si="18"/>
        <v>7.1999999999999993</v>
      </c>
      <c r="L598" s="4" t="str">
        <f t="shared" si="19"/>
        <v>Normal</v>
      </c>
    </row>
    <row r="599" spans="1:12" ht="18" customHeight="1" x14ac:dyDescent="0.3">
      <c r="A599" s="1">
        <v>86338</v>
      </c>
      <c r="B599" s="1" t="str">
        <f>VLOOKUP( WeatherData[[#This Row],[Station Number]], 'Station Numbers'!A:B,2,FALSE)</f>
        <v xml:space="preserve">Melbourne (Olympic Park) </v>
      </c>
      <c r="C599" s="1">
        <v>2020</v>
      </c>
      <c r="D599" s="1">
        <v>8</v>
      </c>
      <c r="E599" s="1">
        <v>19</v>
      </c>
      <c r="F599" s="2">
        <f>DATE(WeatherData[[#This Row],[Year]],WeatherData[[#This Row],[Month]],WeatherData[[#This Row],[Day]])</f>
        <v>44062</v>
      </c>
      <c r="G599" s="2" t="str">
        <f>TEXT(WeatherData[[#This Row],[Date]], "mmmm")</f>
        <v>August</v>
      </c>
      <c r="H599" s="16">
        <v>1.2</v>
      </c>
      <c r="I599" s="16">
        <v>12.7</v>
      </c>
      <c r="J599" s="16">
        <v>9.6999999999999993</v>
      </c>
      <c r="K599" s="6">
        <f t="shared" si="18"/>
        <v>3</v>
      </c>
      <c r="L599" s="4" t="str">
        <f t="shared" si="19"/>
        <v>Normal</v>
      </c>
    </row>
    <row r="600" spans="1:12" ht="18" customHeight="1" x14ac:dyDescent="0.3">
      <c r="A600" s="1">
        <v>86338</v>
      </c>
      <c r="B600" s="1" t="str">
        <f>VLOOKUP( WeatherData[[#This Row],[Station Number]], 'Station Numbers'!A:B,2,FALSE)</f>
        <v xml:space="preserve">Melbourne (Olympic Park) </v>
      </c>
      <c r="C600" s="1">
        <v>2020</v>
      </c>
      <c r="D600" s="1">
        <v>8</v>
      </c>
      <c r="E600" s="1">
        <v>20</v>
      </c>
      <c r="F600" s="2">
        <f>DATE(WeatherData[[#This Row],[Year]],WeatherData[[#This Row],[Month]],WeatherData[[#This Row],[Day]])</f>
        <v>44063</v>
      </c>
      <c r="G600" s="2" t="str">
        <f>TEXT(WeatherData[[#This Row],[Date]], "mmmm")</f>
        <v>August</v>
      </c>
      <c r="H600" s="16">
        <v>3.8</v>
      </c>
      <c r="I600" s="16">
        <v>15.7</v>
      </c>
      <c r="J600" s="16">
        <v>9.6</v>
      </c>
      <c r="K600" s="6">
        <f t="shared" si="18"/>
        <v>6.1</v>
      </c>
      <c r="L600" s="4" t="str">
        <f t="shared" si="19"/>
        <v>Normal</v>
      </c>
    </row>
    <row r="601" spans="1:12" ht="18" customHeight="1" x14ac:dyDescent="0.3">
      <c r="A601" s="1">
        <v>86338</v>
      </c>
      <c r="B601" s="1" t="str">
        <f>VLOOKUP( WeatherData[[#This Row],[Station Number]], 'Station Numbers'!A:B,2,FALSE)</f>
        <v xml:space="preserve">Melbourne (Olympic Park) </v>
      </c>
      <c r="C601" s="1">
        <v>2020</v>
      </c>
      <c r="D601" s="1">
        <v>8</v>
      </c>
      <c r="E601" s="1">
        <v>21</v>
      </c>
      <c r="F601" s="2">
        <f>DATE(WeatherData[[#This Row],[Year]],WeatherData[[#This Row],[Month]],WeatherData[[#This Row],[Day]])</f>
        <v>44064</v>
      </c>
      <c r="G601" s="2" t="str">
        <f>TEXT(WeatherData[[#This Row],[Date]], "mmmm")</f>
        <v>August</v>
      </c>
      <c r="H601" s="16">
        <v>0.4</v>
      </c>
      <c r="I601" s="16">
        <v>14.1</v>
      </c>
      <c r="J601" s="16">
        <v>8.5</v>
      </c>
      <c r="K601" s="6">
        <f t="shared" si="18"/>
        <v>5.6</v>
      </c>
      <c r="L601" s="4" t="str">
        <f t="shared" si="19"/>
        <v>Normal</v>
      </c>
    </row>
    <row r="602" spans="1:12" ht="18" customHeight="1" x14ac:dyDescent="0.3">
      <c r="A602" s="1">
        <v>86338</v>
      </c>
      <c r="B602" s="1" t="str">
        <f>VLOOKUP( WeatherData[[#This Row],[Station Number]], 'Station Numbers'!A:B,2,FALSE)</f>
        <v xml:space="preserve">Melbourne (Olympic Park) </v>
      </c>
      <c r="C602" s="1">
        <v>2020</v>
      </c>
      <c r="D602" s="1">
        <v>8</v>
      </c>
      <c r="E602" s="1">
        <v>22</v>
      </c>
      <c r="F602" s="2">
        <f>DATE(WeatherData[[#This Row],[Year]],WeatherData[[#This Row],[Month]],WeatherData[[#This Row],[Day]])</f>
        <v>44065</v>
      </c>
      <c r="G602" s="2" t="str">
        <f>TEXT(WeatherData[[#This Row],[Date]], "mmmm")</f>
        <v>August</v>
      </c>
      <c r="H602" s="16">
        <v>4.4000000000000004</v>
      </c>
      <c r="I602" s="16">
        <v>11.1</v>
      </c>
      <c r="J602" s="16">
        <v>5.8</v>
      </c>
      <c r="K602" s="6">
        <f t="shared" si="18"/>
        <v>5.3</v>
      </c>
      <c r="L602" s="4" t="str">
        <f t="shared" si="19"/>
        <v>Normal</v>
      </c>
    </row>
    <row r="603" spans="1:12" ht="18" customHeight="1" x14ac:dyDescent="0.3">
      <c r="A603" s="1">
        <v>86338</v>
      </c>
      <c r="B603" s="1" t="str">
        <f>VLOOKUP( WeatherData[[#This Row],[Station Number]], 'Station Numbers'!A:B,2,FALSE)</f>
        <v xml:space="preserve">Melbourne (Olympic Park) </v>
      </c>
      <c r="C603" s="1">
        <v>2020</v>
      </c>
      <c r="D603" s="1">
        <v>8</v>
      </c>
      <c r="E603" s="1">
        <v>23</v>
      </c>
      <c r="F603" s="2">
        <f>DATE(WeatherData[[#This Row],[Year]],WeatherData[[#This Row],[Month]],WeatherData[[#This Row],[Day]])</f>
        <v>44066</v>
      </c>
      <c r="G603" s="2" t="str">
        <f>TEXT(WeatherData[[#This Row],[Date]], "mmmm")</f>
        <v>August</v>
      </c>
      <c r="H603" s="16">
        <v>25.6</v>
      </c>
      <c r="I603" s="16">
        <v>11.5</v>
      </c>
      <c r="J603" s="16">
        <v>6.8</v>
      </c>
      <c r="K603" s="6">
        <f t="shared" si="18"/>
        <v>4.7</v>
      </c>
      <c r="L603" s="4" t="str">
        <f t="shared" si="19"/>
        <v>Heavy Rain</v>
      </c>
    </row>
    <row r="604" spans="1:12" ht="18" customHeight="1" x14ac:dyDescent="0.3">
      <c r="A604" s="1">
        <v>86338</v>
      </c>
      <c r="B604" s="1" t="str">
        <f>VLOOKUP( WeatherData[[#This Row],[Station Number]], 'Station Numbers'!A:B,2,FALSE)</f>
        <v xml:space="preserve">Melbourne (Olympic Park) </v>
      </c>
      <c r="C604" s="1">
        <v>2020</v>
      </c>
      <c r="D604" s="1">
        <v>8</v>
      </c>
      <c r="E604" s="1">
        <v>24</v>
      </c>
      <c r="F604" s="2">
        <f>DATE(WeatherData[[#This Row],[Year]],WeatherData[[#This Row],[Month]],WeatherData[[#This Row],[Day]])</f>
        <v>44067</v>
      </c>
      <c r="G604" s="2" t="str">
        <f>TEXT(WeatherData[[#This Row],[Date]], "mmmm")</f>
        <v>August</v>
      </c>
      <c r="H604" s="16">
        <v>2.8</v>
      </c>
      <c r="I604" s="16">
        <v>12.4</v>
      </c>
      <c r="J604" s="16">
        <v>6.3</v>
      </c>
      <c r="K604" s="6">
        <f t="shared" si="18"/>
        <v>6.1000000000000005</v>
      </c>
      <c r="L604" s="4" t="str">
        <f t="shared" si="19"/>
        <v>Normal</v>
      </c>
    </row>
    <row r="605" spans="1:12" ht="18" customHeight="1" x14ac:dyDescent="0.3">
      <c r="A605" s="1">
        <v>86338</v>
      </c>
      <c r="B605" s="1" t="str">
        <f>VLOOKUP( WeatherData[[#This Row],[Station Number]], 'Station Numbers'!A:B,2,FALSE)</f>
        <v xml:space="preserve">Melbourne (Olympic Park) </v>
      </c>
      <c r="C605" s="1">
        <v>2020</v>
      </c>
      <c r="D605" s="1">
        <v>8</v>
      </c>
      <c r="E605" s="1">
        <v>25</v>
      </c>
      <c r="F605" s="2">
        <f>DATE(WeatherData[[#This Row],[Year]],WeatherData[[#This Row],[Month]],WeatherData[[#This Row],[Day]])</f>
        <v>44068</v>
      </c>
      <c r="G605" s="2" t="str">
        <f>TEXT(WeatherData[[#This Row],[Date]], "mmmm")</f>
        <v>August</v>
      </c>
      <c r="H605" s="16">
        <v>0</v>
      </c>
      <c r="I605" s="16">
        <v>13</v>
      </c>
      <c r="J605" s="16">
        <v>3.6</v>
      </c>
      <c r="K605" s="6">
        <f t="shared" si="18"/>
        <v>9.4</v>
      </c>
      <c r="L605" s="4" t="str">
        <f t="shared" si="19"/>
        <v>Normal</v>
      </c>
    </row>
    <row r="606" spans="1:12" ht="18" customHeight="1" x14ac:dyDescent="0.3">
      <c r="A606" s="1">
        <v>86338</v>
      </c>
      <c r="B606" s="1" t="str">
        <f>VLOOKUP( WeatherData[[#This Row],[Station Number]], 'Station Numbers'!A:B,2,FALSE)</f>
        <v xml:space="preserve">Melbourne (Olympic Park) </v>
      </c>
      <c r="C606" s="1">
        <v>2020</v>
      </c>
      <c r="D606" s="1">
        <v>8</v>
      </c>
      <c r="E606" s="1">
        <v>26</v>
      </c>
      <c r="F606" s="2">
        <f>DATE(WeatherData[[#This Row],[Year]],WeatherData[[#This Row],[Month]],WeatherData[[#This Row],[Day]])</f>
        <v>44069</v>
      </c>
      <c r="G606" s="2" t="str">
        <f>TEXT(WeatherData[[#This Row],[Date]], "mmmm")</f>
        <v>August</v>
      </c>
      <c r="H606" s="16">
        <v>0</v>
      </c>
      <c r="I606" s="16">
        <v>14.5</v>
      </c>
      <c r="J606" s="16">
        <v>6.1</v>
      </c>
      <c r="K606" s="6">
        <f t="shared" si="18"/>
        <v>8.4</v>
      </c>
      <c r="L606" s="4" t="str">
        <f t="shared" si="19"/>
        <v>Normal</v>
      </c>
    </row>
    <row r="607" spans="1:12" ht="18" customHeight="1" x14ac:dyDescent="0.3">
      <c r="A607" s="1">
        <v>86338</v>
      </c>
      <c r="B607" s="1" t="str">
        <f>VLOOKUP( WeatherData[[#This Row],[Station Number]], 'Station Numbers'!A:B,2,FALSE)</f>
        <v xml:space="preserve">Melbourne (Olympic Park) </v>
      </c>
      <c r="C607" s="1">
        <v>2020</v>
      </c>
      <c r="D607" s="1">
        <v>8</v>
      </c>
      <c r="E607" s="1">
        <v>27</v>
      </c>
      <c r="F607" s="2">
        <f>DATE(WeatherData[[#This Row],[Year]],WeatherData[[#This Row],[Month]],WeatherData[[#This Row],[Day]])</f>
        <v>44070</v>
      </c>
      <c r="G607" s="2" t="str">
        <f>TEXT(WeatherData[[#This Row],[Date]], "mmmm")</f>
        <v>August</v>
      </c>
      <c r="H607" s="16">
        <v>0</v>
      </c>
      <c r="I607" s="16">
        <v>20.7</v>
      </c>
      <c r="J607" s="16">
        <v>8.8000000000000007</v>
      </c>
      <c r="K607" s="6">
        <f t="shared" si="18"/>
        <v>11.899999999999999</v>
      </c>
      <c r="L607" s="4" t="str">
        <f t="shared" si="19"/>
        <v>Normal</v>
      </c>
    </row>
    <row r="608" spans="1:12" ht="18" customHeight="1" x14ac:dyDescent="0.3">
      <c r="A608" s="1">
        <v>86338</v>
      </c>
      <c r="B608" s="1" t="str">
        <f>VLOOKUP( WeatherData[[#This Row],[Station Number]], 'Station Numbers'!A:B,2,FALSE)</f>
        <v xml:space="preserve">Melbourne (Olympic Park) </v>
      </c>
      <c r="C608" s="1">
        <v>2020</v>
      </c>
      <c r="D608" s="1">
        <v>8</v>
      </c>
      <c r="E608" s="1">
        <v>28</v>
      </c>
      <c r="F608" s="2">
        <f>DATE(WeatherData[[#This Row],[Year]],WeatherData[[#This Row],[Month]],WeatherData[[#This Row],[Day]])</f>
        <v>44071</v>
      </c>
      <c r="G608" s="2" t="str">
        <f>TEXT(WeatherData[[#This Row],[Date]], "mmmm")</f>
        <v>August</v>
      </c>
      <c r="H608" s="16">
        <v>1.4</v>
      </c>
      <c r="I608" s="16">
        <v>17.600000000000001</v>
      </c>
      <c r="J608" s="16">
        <v>8.5</v>
      </c>
      <c r="K608" s="6">
        <f t="shared" si="18"/>
        <v>9.1000000000000014</v>
      </c>
      <c r="L608" s="4" t="str">
        <f t="shared" si="19"/>
        <v>Normal</v>
      </c>
    </row>
    <row r="609" spans="1:12" ht="18" customHeight="1" x14ac:dyDescent="0.3">
      <c r="A609" s="1">
        <v>86338</v>
      </c>
      <c r="B609" s="1" t="str">
        <f>VLOOKUP( WeatherData[[#This Row],[Station Number]], 'Station Numbers'!A:B,2,FALSE)</f>
        <v xml:space="preserve">Melbourne (Olympic Park) </v>
      </c>
      <c r="C609" s="1">
        <v>2020</v>
      </c>
      <c r="D609" s="1">
        <v>8</v>
      </c>
      <c r="E609" s="1">
        <v>29</v>
      </c>
      <c r="F609" s="2">
        <f>DATE(WeatherData[[#This Row],[Year]],WeatherData[[#This Row],[Month]],WeatherData[[#This Row],[Day]])</f>
        <v>44072</v>
      </c>
      <c r="G609" s="2" t="str">
        <f>TEXT(WeatherData[[#This Row],[Date]], "mmmm")</f>
        <v>August</v>
      </c>
      <c r="H609" s="16">
        <v>0</v>
      </c>
      <c r="I609" s="16">
        <v>19.3</v>
      </c>
      <c r="J609" s="16">
        <v>9.1999999999999993</v>
      </c>
      <c r="K609" s="6">
        <f t="shared" si="18"/>
        <v>10.100000000000001</v>
      </c>
      <c r="L609" s="4" t="str">
        <f t="shared" si="19"/>
        <v>Normal</v>
      </c>
    </row>
    <row r="610" spans="1:12" ht="18" customHeight="1" x14ac:dyDescent="0.3">
      <c r="A610" s="1">
        <v>86338</v>
      </c>
      <c r="B610" s="1" t="str">
        <f>VLOOKUP( WeatherData[[#This Row],[Station Number]], 'Station Numbers'!A:B,2,FALSE)</f>
        <v xml:space="preserve">Melbourne (Olympic Park) </v>
      </c>
      <c r="C610" s="1">
        <v>2020</v>
      </c>
      <c r="D610" s="1">
        <v>8</v>
      </c>
      <c r="E610" s="1">
        <v>30</v>
      </c>
      <c r="F610" s="2">
        <f>DATE(WeatherData[[#This Row],[Year]],WeatherData[[#This Row],[Month]],WeatherData[[#This Row],[Day]])</f>
        <v>44073</v>
      </c>
      <c r="G610" s="2" t="str">
        <f>TEXT(WeatherData[[#This Row],[Date]], "mmmm")</f>
        <v>August</v>
      </c>
      <c r="H610" s="16">
        <v>0</v>
      </c>
      <c r="I610" s="16">
        <v>19.8</v>
      </c>
      <c r="J610" s="16">
        <v>12</v>
      </c>
      <c r="K610" s="6">
        <f t="shared" si="18"/>
        <v>7.8000000000000007</v>
      </c>
      <c r="L610" s="4" t="str">
        <f t="shared" si="19"/>
        <v>Normal</v>
      </c>
    </row>
    <row r="611" spans="1:12" ht="18" customHeight="1" x14ac:dyDescent="0.3">
      <c r="A611" s="1">
        <v>86338</v>
      </c>
      <c r="B611" s="1" t="str">
        <f>VLOOKUP( WeatherData[[#This Row],[Station Number]], 'Station Numbers'!A:B,2,FALSE)</f>
        <v xml:space="preserve">Melbourne (Olympic Park) </v>
      </c>
      <c r="C611" s="1">
        <v>2020</v>
      </c>
      <c r="D611" s="1">
        <v>8</v>
      </c>
      <c r="E611" s="1">
        <v>31</v>
      </c>
      <c r="F611" s="2">
        <f>DATE(WeatherData[[#This Row],[Year]],WeatherData[[#This Row],[Month]],WeatherData[[#This Row],[Day]])</f>
        <v>44074</v>
      </c>
      <c r="G611" s="2" t="str">
        <f>TEXT(WeatherData[[#This Row],[Date]], "mmmm")</f>
        <v>August</v>
      </c>
      <c r="H611" s="16">
        <v>1</v>
      </c>
      <c r="I611" s="16">
        <v>12.5</v>
      </c>
      <c r="J611" s="16">
        <v>6.9</v>
      </c>
      <c r="K611" s="6">
        <f t="shared" si="18"/>
        <v>5.6</v>
      </c>
      <c r="L611" s="4" t="str">
        <f t="shared" si="19"/>
        <v>Normal</v>
      </c>
    </row>
    <row r="612" spans="1:12" ht="18" customHeight="1" x14ac:dyDescent="0.3">
      <c r="A612" s="1">
        <v>86338</v>
      </c>
      <c r="B612" s="1" t="str">
        <f>VLOOKUP( WeatherData[[#This Row],[Station Number]], 'Station Numbers'!A:B,2,FALSE)</f>
        <v xml:space="preserve">Melbourne (Olympic Park) </v>
      </c>
      <c r="C612" s="1">
        <v>2020</v>
      </c>
      <c r="D612" s="1">
        <v>9</v>
      </c>
      <c r="E612" s="1">
        <v>1</v>
      </c>
      <c r="F612" s="2">
        <f>DATE(WeatherData[[#This Row],[Year]],WeatherData[[#This Row],[Month]],WeatherData[[#This Row],[Day]])</f>
        <v>44075</v>
      </c>
      <c r="G612" s="2" t="str">
        <f>TEXT(WeatherData[[#This Row],[Date]], "mmmm")</f>
        <v>September</v>
      </c>
      <c r="H612" s="16">
        <v>0</v>
      </c>
      <c r="I612" s="16">
        <v>15.7</v>
      </c>
      <c r="J612" s="16">
        <v>6.6</v>
      </c>
      <c r="K612" s="6">
        <f t="shared" si="18"/>
        <v>9.1</v>
      </c>
      <c r="L612" s="4" t="str">
        <f t="shared" si="19"/>
        <v>Normal</v>
      </c>
    </row>
    <row r="613" spans="1:12" ht="18" customHeight="1" x14ac:dyDescent="0.3">
      <c r="A613" s="1">
        <v>86338</v>
      </c>
      <c r="B613" s="1" t="str">
        <f>VLOOKUP( WeatherData[[#This Row],[Station Number]], 'Station Numbers'!A:B,2,FALSE)</f>
        <v xml:space="preserve">Melbourne (Olympic Park) </v>
      </c>
      <c r="C613" s="1">
        <v>2020</v>
      </c>
      <c r="D613" s="1">
        <v>9</v>
      </c>
      <c r="E613" s="1">
        <v>2</v>
      </c>
      <c r="F613" s="2">
        <f>DATE(WeatherData[[#This Row],[Year]],WeatherData[[#This Row],[Month]],WeatherData[[#This Row],[Day]])</f>
        <v>44076</v>
      </c>
      <c r="G613" s="2" t="str">
        <f>TEXT(WeatherData[[#This Row],[Date]], "mmmm")</f>
        <v>September</v>
      </c>
      <c r="H613" s="16">
        <v>0</v>
      </c>
      <c r="I613" s="16">
        <v>22</v>
      </c>
      <c r="J613" s="16">
        <v>8.6</v>
      </c>
      <c r="K613" s="6">
        <f t="shared" si="18"/>
        <v>13.4</v>
      </c>
      <c r="L613" s="4" t="str">
        <f t="shared" si="19"/>
        <v>Normal</v>
      </c>
    </row>
    <row r="614" spans="1:12" ht="18" customHeight="1" x14ac:dyDescent="0.3">
      <c r="A614" s="1">
        <v>86338</v>
      </c>
      <c r="B614" s="1" t="str">
        <f>VLOOKUP( WeatherData[[#This Row],[Station Number]], 'Station Numbers'!A:B,2,FALSE)</f>
        <v xml:space="preserve">Melbourne (Olympic Park) </v>
      </c>
      <c r="C614" s="1">
        <v>2020</v>
      </c>
      <c r="D614" s="1">
        <v>9</v>
      </c>
      <c r="E614" s="1">
        <v>3</v>
      </c>
      <c r="F614" s="2">
        <f>DATE(WeatherData[[#This Row],[Year]],WeatherData[[#This Row],[Month]],WeatherData[[#This Row],[Day]])</f>
        <v>44077</v>
      </c>
      <c r="G614" s="2" t="str">
        <f>TEXT(WeatherData[[#This Row],[Date]], "mmmm")</f>
        <v>September</v>
      </c>
      <c r="H614" s="16">
        <v>0</v>
      </c>
      <c r="I614" s="16">
        <v>19.899999999999999</v>
      </c>
      <c r="J614" s="16">
        <v>12.9</v>
      </c>
      <c r="K614" s="6">
        <f t="shared" si="18"/>
        <v>6.9999999999999982</v>
      </c>
      <c r="L614" s="4" t="str">
        <f t="shared" si="19"/>
        <v>Normal</v>
      </c>
    </row>
    <row r="615" spans="1:12" ht="18" customHeight="1" x14ac:dyDescent="0.3">
      <c r="A615" s="1">
        <v>86338</v>
      </c>
      <c r="B615" s="1" t="str">
        <f>VLOOKUP( WeatherData[[#This Row],[Station Number]], 'Station Numbers'!A:B,2,FALSE)</f>
        <v xml:space="preserve">Melbourne (Olympic Park) </v>
      </c>
      <c r="C615" s="1">
        <v>2020</v>
      </c>
      <c r="D615" s="1">
        <v>9</v>
      </c>
      <c r="E615" s="1">
        <v>4</v>
      </c>
      <c r="F615" s="2">
        <f>DATE(WeatherData[[#This Row],[Year]],WeatherData[[#This Row],[Month]],WeatherData[[#This Row],[Day]])</f>
        <v>44078</v>
      </c>
      <c r="G615" s="2" t="str">
        <f>TEXT(WeatherData[[#This Row],[Date]], "mmmm")</f>
        <v>September</v>
      </c>
      <c r="H615" s="16">
        <v>0</v>
      </c>
      <c r="I615" s="16">
        <v>17.3</v>
      </c>
      <c r="J615" s="16">
        <v>9</v>
      </c>
      <c r="K615" s="6">
        <f t="shared" si="18"/>
        <v>8.3000000000000007</v>
      </c>
      <c r="L615" s="4" t="str">
        <f t="shared" si="19"/>
        <v>Normal</v>
      </c>
    </row>
    <row r="616" spans="1:12" ht="18" customHeight="1" x14ac:dyDescent="0.3">
      <c r="A616" s="1">
        <v>86338</v>
      </c>
      <c r="B616" s="1" t="str">
        <f>VLOOKUP( WeatherData[[#This Row],[Station Number]], 'Station Numbers'!A:B,2,FALSE)</f>
        <v xml:space="preserve">Melbourne (Olympic Park) </v>
      </c>
      <c r="C616" s="1">
        <v>2020</v>
      </c>
      <c r="D616" s="1">
        <v>9</v>
      </c>
      <c r="E616" s="1">
        <v>5</v>
      </c>
      <c r="F616" s="2">
        <f>DATE(WeatherData[[#This Row],[Year]],WeatherData[[#This Row],[Month]],WeatherData[[#This Row],[Day]])</f>
        <v>44079</v>
      </c>
      <c r="G616" s="2" t="str">
        <f>TEXT(WeatherData[[#This Row],[Date]], "mmmm")</f>
        <v>September</v>
      </c>
      <c r="H616" s="16">
        <v>0.2</v>
      </c>
      <c r="I616" s="16">
        <v>16.600000000000001</v>
      </c>
      <c r="J616" s="16">
        <v>9.6999999999999993</v>
      </c>
      <c r="K616" s="6">
        <f t="shared" si="18"/>
        <v>6.9000000000000021</v>
      </c>
      <c r="L616" s="4" t="str">
        <f t="shared" si="19"/>
        <v>Normal</v>
      </c>
    </row>
    <row r="617" spans="1:12" ht="18" customHeight="1" x14ac:dyDescent="0.3">
      <c r="A617" s="1">
        <v>86338</v>
      </c>
      <c r="B617" s="1" t="str">
        <f>VLOOKUP( WeatherData[[#This Row],[Station Number]], 'Station Numbers'!A:B,2,FALSE)</f>
        <v xml:space="preserve">Melbourne (Olympic Park) </v>
      </c>
      <c r="C617" s="1">
        <v>2020</v>
      </c>
      <c r="D617" s="1">
        <v>9</v>
      </c>
      <c r="E617" s="1">
        <v>6</v>
      </c>
      <c r="F617" s="2">
        <f>DATE(WeatherData[[#This Row],[Year]],WeatherData[[#This Row],[Month]],WeatherData[[#This Row],[Day]])</f>
        <v>44080</v>
      </c>
      <c r="G617" s="2" t="str">
        <f>TEXT(WeatherData[[#This Row],[Date]], "mmmm")</f>
        <v>September</v>
      </c>
      <c r="H617" s="16">
        <v>0.2</v>
      </c>
      <c r="I617" s="16">
        <v>19.2</v>
      </c>
      <c r="J617" s="16">
        <v>6.9</v>
      </c>
      <c r="K617" s="6">
        <f t="shared" si="18"/>
        <v>12.299999999999999</v>
      </c>
      <c r="L617" s="4" t="str">
        <f t="shared" si="19"/>
        <v>Normal</v>
      </c>
    </row>
    <row r="618" spans="1:12" ht="18" customHeight="1" x14ac:dyDescent="0.3">
      <c r="A618" s="1">
        <v>86338</v>
      </c>
      <c r="B618" s="1" t="str">
        <f>VLOOKUP( WeatherData[[#This Row],[Station Number]], 'Station Numbers'!A:B,2,FALSE)</f>
        <v xml:space="preserve">Melbourne (Olympic Park) </v>
      </c>
      <c r="C618" s="1">
        <v>2020</v>
      </c>
      <c r="D618" s="1">
        <v>9</v>
      </c>
      <c r="E618" s="1">
        <v>7</v>
      </c>
      <c r="F618" s="2">
        <f>DATE(WeatherData[[#This Row],[Year]],WeatherData[[#This Row],[Month]],WeatherData[[#This Row],[Day]])</f>
        <v>44081</v>
      </c>
      <c r="G618" s="2" t="str">
        <f>TEXT(WeatherData[[#This Row],[Date]], "mmmm")</f>
        <v>September</v>
      </c>
      <c r="H618" s="16">
        <v>0</v>
      </c>
      <c r="I618" s="16">
        <v>22.9</v>
      </c>
      <c r="J618" s="16">
        <v>8.8000000000000007</v>
      </c>
      <c r="K618" s="6">
        <f t="shared" si="18"/>
        <v>14.099999999999998</v>
      </c>
      <c r="L618" s="4" t="str">
        <f t="shared" si="19"/>
        <v>Normal</v>
      </c>
    </row>
    <row r="619" spans="1:12" ht="18" customHeight="1" x14ac:dyDescent="0.3">
      <c r="A619" s="1">
        <v>86338</v>
      </c>
      <c r="B619" s="1" t="str">
        <f>VLOOKUP( WeatherData[[#This Row],[Station Number]], 'Station Numbers'!A:B,2,FALSE)</f>
        <v xml:space="preserve">Melbourne (Olympic Park) </v>
      </c>
      <c r="C619" s="1">
        <v>2020</v>
      </c>
      <c r="D619" s="1">
        <v>9</v>
      </c>
      <c r="E619" s="1">
        <v>8</v>
      </c>
      <c r="F619" s="2">
        <f>DATE(WeatherData[[#This Row],[Year]],WeatherData[[#This Row],[Month]],WeatherData[[#This Row],[Day]])</f>
        <v>44082</v>
      </c>
      <c r="G619" s="2" t="str">
        <f>TEXT(WeatherData[[#This Row],[Date]], "mmmm")</f>
        <v>September</v>
      </c>
      <c r="H619" s="16">
        <v>0</v>
      </c>
      <c r="I619" s="16">
        <v>19.899999999999999</v>
      </c>
      <c r="J619" s="16">
        <v>16.600000000000001</v>
      </c>
      <c r="K619" s="6">
        <f t="shared" si="18"/>
        <v>3.2999999999999972</v>
      </c>
      <c r="L619" s="4" t="str">
        <f t="shared" si="19"/>
        <v>Normal</v>
      </c>
    </row>
    <row r="620" spans="1:12" ht="18" customHeight="1" x14ac:dyDescent="0.3">
      <c r="A620" s="1">
        <v>86338</v>
      </c>
      <c r="B620" s="1" t="str">
        <f>VLOOKUP( WeatherData[[#This Row],[Station Number]], 'Station Numbers'!A:B,2,FALSE)</f>
        <v xml:space="preserve">Melbourne (Olympic Park) </v>
      </c>
      <c r="C620" s="1">
        <v>2020</v>
      </c>
      <c r="D620" s="1">
        <v>9</v>
      </c>
      <c r="E620" s="1">
        <v>9</v>
      </c>
      <c r="F620" s="2">
        <f>DATE(WeatherData[[#This Row],[Year]],WeatherData[[#This Row],[Month]],WeatherData[[#This Row],[Day]])</f>
        <v>44083</v>
      </c>
      <c r="G620" s="2" t="str">
        <f>TEXT(WeatherData[[#This Row],[Date]], "mmmm")</f>
        <v>September</v>
      </c>
      <c r="H620" s="16">
        <v>1</v>
      </c>
      <c r="I620" s="16">
        <v>15.6</v>
      </c>
      <c r="J620" s="16">
        <v>8.1</v>
      </c>
      <c r="K620" s="6">
        <f t="shared" si="18"/>
        <v>7.5</v>
      </c>
      <c r="L620" s="4" t="str">
        <f t="shared" si="19"/>
        <v>Normal</v>
      </c>
    </row>
    <row r="621" spans="1:12" ht="18" customHeight="1" x14ac:dyDescent="0.3">
      <c r="A621" s="1">
        <v>86338</v>
      </c>
      <c r="B621" s="1" t="str">
        <f>VLOOKUP( WeatherData[[#This Row],[Station Number]], 'Station Numbers'!A:B,2,FALSE)</f>
        <v xml:space="preserve">Melbourne (Olympic Park) </v>
      </c>
      <c r="C621" s="1">
        <v>2020</v>
      </c>
      <c r="D621" s="1">
        <v>9</v>
      </c>
      <c r="E621" s="1">
        <v>10</v>
      </c>
      <c r="F621" s="2">
        <f>DATE(WeatherData[[#This Row],[Year]],WeatherData[[#This Row],[Month]],WeatherData[[#This Row],[Day]])</f>
        <v>44084</v>
      </c>
      <c r="G621" s="2" t="str">
        <f>TEXT(WeatherData[[#This Row],[Date]], "mmmm")</f>
        <v>September</v>
      </c>
      <c r="H621" s="16">
        <v>0</v>
      </c>
      <c r="I621" s="16">
        <v>21.4</v>
      </c>
      <c r="J621" s="16">
        <v>5.4</v>
      </c>
      <c r="K621" s="6">
        <f t="shared" si="18"/>
        <v>15.999999999999998</v>
      </c>
      <c r="L621" s="4" t="str">
        <f t="shared" si="19"/>
        <v>Normal</v>
      </c>
    </row>
    <row r="622" spans="1:12" ht="18" customHeight="1" x14ac:dyDescent="0.3">
      <c r="A622" s="1">
        <v>86338</v>
      </c>
      <c r="B622" s="1" t="str">
        <f>VLOOKUP( WeatherData[[#This Row],[Station Number]], 'Station Numbers'!A:B,2,FALSE)</f>
        <v xml:space="preserve">Melbourne (Olympic Park) </v>
      </c>
      <c r="C622" s="1">
        <v>2020</v>
      </c>
      <c r="D622" s="1">
        <v>9</v>
      </c>
      <c r="E622" s="1">
        <v>11</v>
      </c>
      <c r="F622" s="2">
        <f>DATE(WeatherData[[#This Row],[Year]],WeatherData[[#This Row],[Month]],WeatherData[[#This Row],[Day]])</f>
        <v>44085</v>
      </c>
      <c r="G622" s="2" t="str">
        <f>TEXT(WeatherData[[#This Row],[Date]], "mmmm")</f>
        <v>September</v>
      </c>
      <c r="H622" s="16">
        <v>0</v>
      </c>
      <c r="I622" s="16">
        <v>19.399999999999999</v>
      </c>
      <c r="J622" s="16">
        <v>10.4</v>
      </c>
      <c r="K622" s="6">
        <f t="shared" si="18"/>
        <v>8.9999999999999982</v>
      </c>
      <c r="L622" s="4" t="str">
        <f t="shared" si="19"/>
        <v>Normal</v>
      </c>
    </row>
    <row r="623" spans="1:12" ht="18" customHeight="1" x14ac:dyDescent="0.3">
      <c r="A623" s="1">
        <v>86338</v>
      </c>
      <c r="B623" s="1" t="str">
        <f>VLOOKUP( WeatherData[[#This Row],[Station Number]], 'Station Numbers'!A:B,2,FALSE)</f>
        <v xml:space="preserve">Melbourne (Olympic Park) </v>
      </c>
      <c r="C623" s="1">
        <v>2020</v>
      </c>
      <c r="D623" s="1">
        <v>9</v>
      </c>
      <c r="E623" s="1">
        <v>12</v>
      </c>
      <c r="F623" s="2">
        <f>DATE(WeatherData[[#This Row],[Year]],WeatherData[[#This Row],[Month]],WeatherData[[#This Row],[Day]])</f>
        <v>44086</v>
      </c>
      <c r="G623" s="2" t="str">
        <f>TEXT(WeatherData[[#This Row],[Date]], "mmmm")</f>
        <v>September</v>
      </c>
      <c r="H623" s="16">
        <v>1.6</v>
      </c>
      <c r="I623" s="16">
        <v>16</v>
      </c>
      <c r="J623" s="16">
        <v>13.3</v>
      </c>
      <c r="K623" s="6">
        <f t="shared" si="18"/>
        <v>2.6999999999999993</v>
      </c>
      <c r="L623" s="4" t="str">
        <f t="shared" si="19"/>
        <v>Normal</v>
      </c>
    </row>
    <row r="624" spans="1:12" ht="18" customHeight="1" x14ac:dyDescent="0.3">
      <c r="A624" s="1">
        <v>86338</v>
      </c>
      <c r="B624" s="1" t="str">
        <f>VLOOKUP( WeatherData[[#This Row],[Station Number]], 'Station Numbers'!A:B,2,FALSE)</f>
        <v xml:space="preserve">Melbourne (Olympic Park) </v>
      </c>
      <c r="C624" s="1">
        <v>2020</v>
      </c>
      <c r="D624" s="1">
        <v>9</v>
      </c>
      <c r="E624" s="1">
        <v>13</v>
      </c>
      <c r="F624" s="2">
        <f>DATE(WeatherData[[#This Row],[Year]],WeatherData[[#This Row],[Month]],WeatherData[[#This Row],[Day]])</f>
        <v>44087</v>
      </c>
      <c r="G624" s="2" t="str">
        <f>TEXT(WeatherData[[#This Row],[Date]], "mmmm")</f>
        <v>September</v>
      </c>
      <c r="H624" s="16">
        <v>11.8</v>
      </c>
      <c r="I624" s="16">
        <v>17.2</v>
      </c>
      <c r="J624" s="16">
        <v>11.9</v>
      </c>
      <c r="K624" s="6">
        <f t="shared" si="18"/>
        <v>5.2999999999999989</v>
      </c>
      <c r="L624" s="4" t="str">
        <f t="shared" si="19"/>
        <v>Normal</v>
      </c>
    </row>
    <row r="625" spans="1:12" ht="18" customHeight="1" x14ac:dyDescent="0.3">
      <c r="A625" s="1">
        <v>86338</v>
      </c>
      <c r="B625" s="1" t="str">
        <f>VLOOKUP( WeatherData[[#This Row],[Station Number]], 'Station Numbers'!A:B,2,FALSE)</f>
        <v xml:space="preserve">Melbourne (Olympic Park) </v>
      </c>
      <c r="C625" s="1">
        <v>2020</v>
      </c>
      <c r="D625" s="1">
        <v>9</v>
      </c>
      <c r="E625" s="1">
        <v>14</v>
      </c>
      <c r="F625" s="2">
        <f>DATE(WeatherData[[#This Row],[Year]],WeatherData[[#This Row],[Month]],WeatherData[[#This Row],[Day]])</f>
        <v>44088</v>
      </c>
      <c r="G625" s="2" t="str">
        <f>TEXT(WeatherData[[#This Row],[Date]], "mmmm")</f>
        <v>September</v>
      </c>
      <c r="H625" s="16">
        <v>0</v>
      </c>
      <c r="I625" s="16">
        <v>16.600000000000001</v>
      </c>
      <c r="J625" s="16">
        <v>11.1</v>
      </c>
      <c r="K625" s="6">
        <f t="shared" si="18"/>
        <v>5.5000000000000018</v>
      </c>
      <c r="L625" s="4" t="str">
        <f t="shared" si="19"/>
        <v>Normal</v>
      </c>
    </row>
    <row r="626" spans="1:12" ht="18" customHeight="1" x14ac:dyDescent="0.3">
      <c r="A626" s="1">
        <v>86338</v>
      </c>
      <c r="B626" s="1" t="str">
        <f>VLOOKUP( WeatherData[[#This Row],[Station Number]], 'Station Numbers'!A:B,2,FALSE)</f>
        <v xml:space="preserve">Melbourne (Olympic Park) </v>
      </c>
      <c r="C626" s="1">
        <v>2020</v>
      </c>
      <c r="D626" s="1">
        <v>9</v>
      </c>
      <c r="E626" s="1">
        <v>15</v>
      </c>
      <c r="F626" s="2">
        <f>DATE(WeatherData[[#This Row],[Year]],WeatherData[[#This Row],[Month]],WeatherData[[#This Row],[Day]])</f>
        <v>44089</v>
      </c>
      <c r="G626" s="2" t="str">
        <f>TEXT(WeatherData[[#This Row],[Date]], "mmmm")</f>
        <v>September</v>
      </c>
      <c r="H626" s="16">
        <v>0</v>
      </c>
      <c r="I626" s="16">
        <v>15.8</v>
      </c>
      <c r="J626" s="16">
        <v>7.4</v>
      </c>
      <c r="K626" s="6">
        <f t="shared" si="18"/>
        <v>8.4</v>
      </c>
      <c r="L626" s="4" t="str">
        <f t="shared" si="19"/>
        <v>Normal</v>
      </c>
    </row>
    <row r="627" spans="1:12" ht="18" customHeight="1" x14ac:dyDescent="0.3">
      <c r="A627" s="1">
        <v>86338</v>
      </c>
      <c r="B627" s="1" t="str">
        <f>VLOOKUP( WeatherData[[#This Row],[Station Number]], 'Station Numbers'!A:B,2,FALSE)</f>
        <v xml:space="preserve">Melbourne (Olympic Park) </v>
      </c>
      <c r="C627" s="1">
        <v>2020</v>
      </c>
      <c r="D627" s="1">
        <v>9</v>
      </c>
      <c r="E627" s="1">
        <v>16</v>
      </c>
      <c r="F627" s="2">
        <f>DATE(WeatherData[[#This Row],[Year]],WeatherData[[#This Row],[Month]],WeatherData[[#This Row],[Day]])</f>
        <v>44090</v>
      </c>
      <c r="G627" s="2" t="str">
        <f>TEXT(WeatherData[[#This Row],[Date]], "mmmm")</f>
        <v>September</v>
      </c>
      <c r="H627" s="16">
        <v>0</v>
      </c>
      <c r="I627" s="16">
        <v>22.8</v>
      </c>
      <c r="J627" s="16">
        <v>7.1</v>
      </c>
      <c r="K627" s="6">
        <f t="shared" si="18"/>
        <v>15.700000000000001</v>
      </c>
      <c r="L627" s="4" t="str">
        <f t="shared" si="19"/>
        <v>Normal</v>
      </c>
    </row>
    <row r="628" spans="1:12" ht="18" customHeight="1" x14ac:dyDescent="0.3">
      <c r="A628" s="1">
        <v>86338</v>
      </c>
      <c r="B628" s="1" t="str">
        <f>VLOOKUP( WeatherData[[#This Row],[Station Number]], 'Station Numbers'!A:B,2,FALSE)</f>
        <v xml:space="preserve">Melbourne (Olympic Park) </v>
      </c>
      <c r="C628" s="1">
        <v>2020</v>
      </c>
      <c r="D628" s="1">
        <v>9</v>
      </c>
      <c r="E628" s="1">
        <v>17</v>
      </c>
      <c r="F628" s="2">
        <f>DATE(WeatherData[[#This Row],[Year]],WeatherData[[#This Row],[Month]],WeatherData[[#This Row],[Day]])</f>
        <v>44091</v>
      </c>
      <c r="G628" s="2" t="str">
        <f>TEXT(WeatherData[[#This Row],[Date]], "mmmm")</f>
        <v>September</v>
      </c>
      <c r="H628" s="16">
        <v>0.8</v>
      </c>
      <c r="I628" s="16">
        <v>15.5</v>
      </c>
      <c r="J628" s="16">
        <v>11.8</v>
      </c>
      <c r="K628" s="6">
        <f t="shared" si="18"/>
        <v>3.6999999999999993</v>
      </c>
      <c r="L628" s="4" t="str">
        <f t="shared" si="19"/>
        <v>Normal</v>
      </c>
    </row>
    <row r="629" spans="1:12" ht="18" customHeight="1" x14ac:dyDescent="0.3">
      <c r="A629" s="1">
        <v>86338</v>
      </c>
      <c r="B629" s="1" t="str">
        <f>VLOOKUP( WeatherData[[#This Row],[Station Number]], 'Station Numbers'!A:B,2,FALSE)</f>
        <v xml:space="preserve">Melbourne (Olympic Park) </v>
      </c>
      <c r="C629" s="1">
        <v>2020</v>
      </c>
      <c r="D629" s="1">
        <v>9</v>
      </c>
      <c r="E629" s="1">
        <v>18</v>
      </c>
      <c r="F629" s="2">
        <f>DATE(WeatherData[[#This Row],[Year]],WeatherData[[#This Row],[Month]],WeatherData[[#This Row],[Day]])</f>
        <v>44092</v>
      </c>
      <c r="G629" s="2" t="str">
        <f>TEXT(WeatherData[[#This Row],[Date]], "mmmm")</f>
        <v>September</v>
      </c>
      <c r="H629" s="16">
        <v>0</v>
      </c>
      <c r="I629" s="16">
        <v>18.7</v>
      </c>
      <c r="J629" s="16">
        <v>8.4</v>
      </c>
      <c r="K629" s="6">
        <f t="shared" si="18"/>
        <v>10.299999999999999</v>
      </c>
      <c r="L629" s="4" t="str">
        <f t="shared" si="19"/>
        <v>Normal</v>
      </c>
    </row>
    <row r="630" spans="1:12" ht="18" customHeight="1" x14ac:dyDescent="0.3">
      <c r="A630" s="1">
        <v>86338</v>
      </c>
      <c r="B630" s="1" t="str">
        <f>VLOOKUP( WeatherData[[#This Row],[Station Number]], 'Station Numbers'!A:B,2,FALSE)</f>
        <v xml:space="preserve">Melbourne (Olympic Park) </v>
      </c>
      <c r="C630" s="1">
        <v>2020</v>
      </c>
      <c r="D630" s="1">
        <v>9</v>
      </c>
      <c r="E630" s="1">
        <v>19</v>
      </c>
      <c r="F630" s="2">
        <f>DATE(WeatherData[[#This Row],[Year]],WeatherData[[#This Row],[Month]],WeatherData[[#This Row],[Day]])</f>
        <v>44093</v>
      </c>
      <c r="G630" s="2" t="str">
        <f>TEXT(WeatherData[[#This Row],[Date]], "mmmm")</f>
        <v>September</v>
      </c>
      <c r="H630" s="16">
        <v>0</v>
      </c>
      <c r="I630" s="16">
        <v>26.3</v>
      </c>
      <c r="J630" s="16">
        <v>11.3</v>
      </c>
      <c r="K630" s="6">
        <f t="shared" si="18"/>
        <v>15</v>
      </c>
      <c r="L630" s="4" t="str">
        <f t="shared" si="19"/>
        <v>Normal</v>
      </c>
    </row>
    <row r="631" spans="1:12" ht="18" customHeight="1" x14ac:dyDescent="0.3">
      <c r="A631" s="1">
        <v>86338</v>
      </c>
      <c r="B631" s="1" t="str">
        <f>VLOOKUP( WeatherData[[#This Row],[Station Number]], 'Station Numbers'!A:B,2,FALSE)</f>
        <v xml:space="preserve">Melbourne (Olympic Park) </v>
      </c>
      <c r="C631" s="1">
        <v>2020</v>
      </c>
      <c r="D631" s="1">
        <v>9</v>
      </c>
      <c r="E631" s="1">
        <v>20</v>
      </c>
      <c r="F631" s="2">
        <f>DATE(WeatherData[[#This Row],[Year]],WeatherData[[#This Row],[Month]],WeatherData[[#This Row],[Day]])</f>
        <v>44094</v>
      </c>
      <c r="G631" s="2" t="str">
        <f>TEXT(WeatherData[[#This Row],[Date]], "mmmm")</f>
        <v>September</v>
      </c>
      <c r="H631" s="16">
        <v>0</v>
      </c>
      <c r="I631" s="16">
        <v>22</v>
      </c>
      <c r="J631" s="16">
        <v>17.100000000000001</v>
      </c>
      <c r="K631" s="6">
        <f t="shared" si="18"/>
        <v>4.8999999999999986</v>
      </c>
      <c r="L631" s="4" t="str">
        <f t="shared" si="19"/>
        <v>Normal</v>
      </c>
    </row>
    <row r="632" spans="1:12" ht="18" customHeight="1" x14ac:dyDescent="0.3">
      <c r="A632" s="1">
        <v>86338</v>
      </c>
      <c r="B632" s="1" t="str">
        <f>VLOOKUP( WeatherData[[#This Row],[Station Number]], 'Station Numbers'!A:B,2,FALSE)</f>
        <v xml:space="preserve">Melbourne (Olympic Park) </v>
      </c>
      <c r="C632" s="1">
        <v>2020</v>
      </c>
      <c r="D632" s="1">
        <v>9</v>
      </c>
      <c r="E632" s="1">
        <v>21</v>
      </c>
      <c r="F632" s="2">
        <f>DATE(WeatherData[[#This Row],[Year]],WeatherData[[#This Row],[Month]],WeatherData[[#This Row],[Day]])</f>
        <v>44095</v>
      </c>
      <c r="G632" s="2" t="str">
        <f>TEXT(WeatherData[[#This Row],[Date]], "mmmm")</f>
        <v>September</v>
      </c>
      <c r="H632" s="16">
        <v>0</v>
      </c>
      <c r="I632" s="16">
        <v>19.8</v>
      </c>
      <c r="J632" s="16">
        <v>16.600000000000001</v>
      </c>
      <c r="K632" s="6">
        <f t="shared" si="18"/>
        <v>3.1999999999999993</v>
      </c>
      <c r="L632" s="4" t="str">
        <f t="shared" si="19"/>
        <v>Normal</v>
      </c>
    </row>
    <row r="633" spans="1:12" ht="18" customHeight="1" x14ac:dyDescent="0.3">
      <c r="A633" s="1">
        <v>86338</v>
      </c>
      <c r="B633" s="1" t="str">
        <f>VLOOKUP( WeatherData[[#This Row],[Station Number]], 'Station Numbers'!A:B,2,FALSE)</f>
        <v xml:space="preserve">Melbourne (Olympic Park) </v>
      </c>
      <c r="C633" s="1">
        <v>2020</v>
      </c>
      <c r="D633" s="1">
        <v>9</v>
      </c>
      <c r="E633" s="1">
        <v>22</v>
      </c>
      <c r="F633" s="2">
        <f>DATE(WeatherData[[#This Row],[Year]],WeatherData[[#This Row],[Month]],WeatherData[[#This Row],[Day]])</f>
        <v>44096</v>
      </c>
      <c r="G633" s="2" t="str">
        <f>TEXT(WeatherData[[#This Row],[Date]], "mmmm")</f>
        <v>September</v>
      </c>
      <c r="H633" s="16">
        <v>0</v>
      </c>
      <c r="I633" s="16">
        <v>18.899999999999999</v>
      </c>
      <c r="J633" s="16">
        <v>12.3</v>
      </c>
      <c r="K633" s="6">
        <f t="shared" si="18"/>
        <v>6.5999999999999979</v>
      </c>
      <c r="L633" s="4" t="str">
        <f t="shared" si="19"/>
        <v>Normal</v>
      </c>
    </row>
    <row r="634" spans="1:12" ht="18" customHeight="1" x14ac:dyDescent="0.3">
      <c r="A634" s="1">
        <v>86338</v>
      </c>
      <c r="B634" s="1" t="str">
        <f>VLOOKUP( WeatherData[[#This Row],[Station Number]], 'Station Numbers'!A:B,2,FALSE)</f>
        <v xml:space="preserve">Melbourne (Olympic Park) </v>
      </c>
      <c r="C634" s="1">
        <v>2020</v>
      </c>
      <c r="D634" s="1">
        <v>9</v>
      </c>
      <c r="E634" s="1">
        <v>23</v>
      </c>
      <c r="F634" s="2">
        <f>DATE(WeatherData[[#This Row],[Year]],WeatherData[[#This Row],[Month]],WeatherData[[#This Row],[Day]])</f>
        <v>44097</v>
      </c>
      <c r="G634" s="2" t="str">
        <f>TEXT(WeatherData[[#This Row],[Date]], "mmmm")</f>
        <v>September</v>
      </c>
      <c r="H634" s="16">
        <v>0.2</v>
      </c>
      <c r="I634" s="16">
        <v>15.1</v>
      </c>
      <c r="J634" s="16">
        <v>10.6</v>
      </c>
      <c r="K634" s="6">
        <f t="shared" si="18"/>
        <v>4.5</v>
      </c>
      <c r="L634" s="4" t="str">
        <f t="shared" si="19"/>
        <v>Normal</v>
      </c>
    </row>
    <row r="635" spans="1:12" ht="18" customHeight="1" x14ac:dyDescent="0.3">
      <c r="A635" s="1">
        <v>86338</v>
      </c>
      <c r="B635" s="1" t="str">
        <f>VLOOKUP( WeatherData[[#This Row],[Station Number]], 'Station Numbers'!A:B,2,FALSE)</f>
        <v xml:space="preserve">Melbourne (Olympic Park) </v>
      </c>
      <c r="C635" s="1">
        <v>2020</v>
      </c>
      <c r="D635" s="1">
        <v>9</v>
      </c>
      <c r="E635" s="1">
        <v>24</v>
      </c>
      <c r="F635" s="2">
        <f>DATE(WeatherData[[#This Row],[Year]],WeatherData[[#This Row],[Month]],WeatherData[[#This Row],[Day]])</f>
        <v>44098</v>
      </c>
      <c r="G635" s="2" t="str">
        <f>TEXT(WeatherData[[#This Row],[Date]], "mmmm")</f>
        <v>September</v>
      </c>
      <c r="H635" s="16">
        <v>1.6</v>
      </c>
      <c r="I635" s="16">
        <v>15</v>
      </c>
      <c r="J635" s="16">
        <v>8.1999999999999993</v>
      </c>
      <c r="K635" s="6">
        <f t="shared" si="18"/>
        <v>6.8000000000000007</v>
      </c>
      <c r="L635" s="4" t="str">
        <f t="shared" si="19"/>
        <v>Normal</v>
      </c>
    </row>
    <row r="636" spans="1:12" ht="18" customHeight="1" x14ac:dyDescent="0.3">
      <c r="A636" s="1">
        <v>86338</v>
      </c>
      <c r="B636" s="1" t="str">
        <f>VLOOKUP( WeatherData[[#This Row],[Station Number]], 'Station Numbers'!A:B,2,FALSE)</f>
        <v xml:space="preserve">Melbourne (Olympic Park) </v>
      </c>
      <c r="C636" s="1">
        <v>2020</v>
      </c>
      <c r="D636" s="1">
        <v>9</v>
      </c>
      <c r="E636" s="1">
        <v>25</v>
      </c>
      <c r="F636" s="2">
        <f>DATE(WeatherData[[#This Row],[Year]],WeatherData[[#This Row],[Month]],WeatherData[[#This Row],[Day]])</f>
        <v>44099</v>
      </c>
      <c r="G636" s="2" t="str">
        <f>TEXT(WeatherData[[#This Row],[Date]], "mmmm")</f>
        <v>September</v>
      </c>
      <c r="H636" s="16">
        <v>3.2</v>
      </c>
      <c r="I636" s="16">
        <v>11.9</v>
      </c>
      <c r="J636" s="16">
        <v>7.2</v>
      </c>
      <c r="K636" s="6">
        <f t="shared" si="18"/>
        <v>4.7</v>
      </c>
      <c r="L636" s="4" t="str">
        <f t="shared" si="19"/>
        <v>Normal</v>
      </c>
    </row>
    <row r="637" spans="1:12" ht="18" customHeight="1" x14ac:dyDescent="0.3">
      <c r="A637" s="1">
        <v>86338</v>
      </c>
      <c r="B637" s="1" t="str">
        <f>VLOOKUP( WeatherData[[#This Row],[Station Number]], 'Station Numbers'!A:B,2,FALSE)</f>
        <v xml:space="preserve">Melbourne (Olympic Park) </v>
      </c>
      <c r="C637" s="1">
        <v>2020</v>
      </c>
      <c r="D637" s="1">
        <v>9</v>
      </c>
      <c r="E637" s="1">
        <v>26</v>
      </c>
      <c r="F637" s="2">
        <f>DATE(WeatherData[[#This Row],[Year]],WeatherData[[#This Row],[Month]],WeatherData[[#This Row],[Day]])</f>
        <v>44100</v>
      </c>
      <c r="G637" s="2" t="str">
        <f>TEXT(WeatherData[[#This Row],[Date]], "mmmm")</f>
        <v>September</v>
      </c>
      <c r="H637" s="16">
        <v>9.4</v>
      </c>
      <c r="I637" s="16">
        <v>13.4</v>
      </c>
      <c r="J637" s="16">
        <v>6.2</v>
      </c>
      <c r="K637" s="6">
        <f t="shared" si="18"/>
        <v>7.2</v>
      </c>
      <c r="L637" s="4" t="str">
        <f t="shared" si="19"/>
        <v>Normal</v>
      </c>
    </row>
    <row r="638" spans="1:12" ht="18" customHeight="1" x14ac:dyDescent="0.3">
      <c r="A638" s="1">
        <v>86338</v>
      </c>
      <c r="B638" s="1" t="str">
        <f>VLOOKUP( WeatherData[[#This Row],[Station Number]], 'Station Numbers'!A:B,2,FALSE)</f>
        <v xml:space="preserve">Melbourne (Olympic Park) </v>
      </c>
      <c r="C638" s="1">
        <v>2020</v>
      </c>
      <c r="D638" s="1">
        <v>9</v>
      </c>
      <c r="E638" s="1">
        <v>27</v>
      </c>
      <c r="F638" s="2">
        <f>DATE(WeatherData[[#This Row],[Year]],WeatherData[[#This Row],[Month]],WeatherData[[#This Row],[Day]])</f>
        <v>44101</v>
      </c>
      <c r="G638" s="2" t="str">
        <f>TEXT(WeatherData[[#This Row],[Date]], "mmmm")</f>
        <v>September</v>
      </c>
      <c r="H638" s="16">
        <v>3</v>
      </c>
      <c r="I638" s="16">
        <v>13.4</v>
      </c>
      <c r="J638" s="16">
        <v>8.8000000000000007</v>
      </c>
      <c r="K638" s="6">
        <f t="shared" si="18"/>
        <v>4.5999999999999996</v>
      </c>
      <c r="L638" s="4" t="str">
        <f t="shared" si="19"/>
        <v>Normal</v>
      </c>
    </row>
    <row r="639" spans="1:12" ht="18" customHeight="1" x14ac:dyDescent="0.3">
      <c r="A639" s="1">
        <v>86338</v>
      </c>
      <c r="B639" s="1" t="str">
        <f>VLOOKUP( WeatherData[[#This Row],[Station Number]], 'Station Numbers'!A:B,2,FALSE)</f>
        <v xml:space="preserve">Melbourne (Olympic Park) </v>
      </c>
      <c r="C639" s="1">
        <v>2020</v>
      </c>
      <c r="D639" s="1">
        <v>9</v>
      </c>
      <c r="E639" s="1">
        <v>28</v>
      </c>
      <c r="F639" s="2">
        <f>DATE(WeatherData[[#This Row],[Year]],WeatherData[[#This Row],[Month]],WeatherData[[#This Row],[Day]])</f>
        <v>44102</v>
      </c>
      <c r="G639" s="2" t="str">
        <f>TEXT(WeatherData[[#This Row],[Date]], "mmmm")</f>
        <v>September</v>
      </c>
      <c r="H639" s="16">
        <v>0</v>
      </c>
      <c r="I639" s="16">
        <v>13.6</v>
      </c>
      <c r="J639" s="16">
        <v>6.5</v>
      </c>
      <c r="K639" s="6">
        <f t="shared" si="18"/>
        <v>7.1</v>
      </c>
      <c r="L639" s="4" t="str">
        <f t="shared" si="19"/>
        <v>Normal</v>
      </c>
    </row>
    <row r="640" spans="1:12" ht="18" customHeight="1" x14ac:dyDescent="0.3">
      <c r="A640" s="1">
        <v>86338</v>
      </c>
      <c r="B640" s="1" t="str">
        <f>VLOOKUP( WeatherData[[#This Row],[Station Number]], 'Station Numbers'!A:B,2,FALSE)</f>
        <v xml:space="preserve">Melbourne (Olympic Park) </v>
      </c>
      <c r="C640" s="1">
        <v>2020</v>
      </c>
      <c r="D640" s="1">
        <v>9</v>
      </c>
      <c r="E640" s="1">
        <v>29</v>
      </c>
      <c r="F640" s="2">
        <f>DATE(WeatherData[[#This Row],[Year]],WeatherData[[#This Row],[Month]],WeatherData[[#This Row],[Day]])</f>
        <v>44103</v>
      </c>
      <c r="G640" s="2" t="str">
        <f>TEXT(WeatherData[[#This Row],[Date]], "mmmm")</f>
        <v>September</v>
      </c>
      <c r="H640" s="16">
        <v>0</v>
      </c>
      <c r="I640" s="16">
        <v>21</v>
      </c>
      <c r="J640" s="16">
        <v>4.3</v>
      </c>
      <c r="K640" s="6">
        <f t="shared" si="18"/>
        <v>16.7</v>
      </c>
      <c r="L640" s="4" t="str">
        <f t="shared" si="19"/>
        <v>Normal</v>
      </c>
    </row>
    <row r="641" spans="1:12" ht="18" customHeight="1" x14ac:dyDescent="0.3">
      <c r="A641" s="1">
        <v>86338</v>
      </c>
      <c r="B641" s="1" t="str">
        <f>VLOOKUP( WeatherData[[#This Row],[Station Number]], 'Station Numbers'!A:B,2,FALSE)</f>
        <v xml:space="preserve">Melbourne (Olympic Park) </v>
      </c>
      <c r="C641" s="1">
        <v>2020</v>
      </c>
      <c r="D641" s="1">
        <v>9</v>
      </c>
      <c r="E641" s="1">
        <v>30</v>
      </c>
      <c r="F641" s="2">
        <f>DATE(WeatherData[[#This Row],[Year]],WeatherData[[#This Row],[Month]],WeatherData[[#This Row],[Day]])</f>
        <v>44104</v>
      </c>
      <c r="G641" s="2" t="str">
        <f>TEXT(WeatherData[[#This Row],[Date]], "mmmm")</f>
        <v>September</v>
      </c>
      <c r="H641" s="16">
        <v>0.6</v>
      </c>
      <c r="I641" s="16">
        <v>19.399999999999999</v>
      </c>
      <c r="J641" s="16">
        <v>10.7</v>
      </c>
      <c r="K641" s="6">
        <f t="shared" si="18"/>
        <v>8.6999999999999993</v>
      </c>
      <c r="L641" s="4" t="str">
        <f t="shared" si="19"/>
        <v>Normal</v>
      </c>
    </row>
    <row r="642" spans="1:12" ht="18" customHeight="1" x14ac:dyDescent="0.3">
      <c r="A642" s="1">
        <v>86338</v>
      </c>
      <c r="B642" s="1" t="str">
        <f>VLOOKUP( WeatherData[[#This Row],[Station Number]], 'Station Numbers'!A:B,2,FALSE)</f>
        <v xml:space="preserve">Melbourne (Olympic Park) </v>
      </c>
      <c r="C642" s="1">
        <v>2020</v>
      </c>
      <c r="D642" s="1">
        <v>10</v>
      </c>
      <c r="E642" s="1">
        <v>1</v>
      </c>
      <c r="F642" s="2">
        <f>DATE(WeatherData[[#This Row],[Year]],WeatherData[[#This Row],[Month]],WeatherData[[#This Row],[Day]])</f>
        <v>44105</v>
      </c>
      <c r="G642" s="2" t="str">
        <f>TEXT(WeatherData[[#This Row],[Date]], "mmmm")</f>
        <v>October</v>
      </c>
      <c r="H642" s="16">
        <v>1.8</v>
      </c>
      <c r="I642" s="16">
        <v>19.5</v>
      </c>
      <c r="J642" s="16">
        <v>9.4</v>
      </c>
      <c r="K642" s="6">
        <f t="shared" ref="K642:K705" si="20">I642-J642</f>
        <v>10.1</v>
      </c>
      <c r="L642" s="4" t="str">
        <f t="shared" ref="L642:L705" si="21">IF(AND(I642&gt;35, H642&gt;20), "Heatwave + Rain",
   IF(I642&gt;35, "Heatwave",
   IF(H642&gt;20, "Heavy Rain",
   IF(I642&lt;10, "Cold",
   "Normal"))))</f>
        <v>Normal</v>
      </c>
    </row>
    <row r="643" spans="1:12" ht="18" customHeight="1" x14ac:dyDescent="0.3">
      <c r="A643" s="1">
        <v>86338</v>
      </c>
      <c r="B643" s="1" t="str">
        <f>VLOOKUP( WeatherData[[#This Row],[Station Number]], 'Station Numbers'!A:B,2,FALSE)</f>
        <v xml:space="preserve">Melbourne (Olympic Park) </v>
      </c>
      <c r="C643" s="1">
        <v>2020</v>
      </c>
      <c r="D643" s="1">
        <v>10</v>
      </c>
      <c r="E643" s="1">
        <v>2</v>
      </c>
      <c r="F643" s="2">
        <f>DATE(WeatherData[[#This Row],[Year]],WeatherData[[#This Row],[Month]],WeatherData[[#This Row],[Day]])</f>
        <v>44106</v>
      </c>
      <c r="G643" s="2" t="str">
        <f>TEXT(WeatherData[[#This Row],[Date]], "mmmm")</f>
        <v>October</v>
      </c>
      <c r="H643" s="16">
        <v>0</v>
      </c>
      <c r="I643" s="16">
        <v>26</v>
      </c>
      <c r="J643" s="16">
        <v>12.8</v>
      </c>
      <c r="K643" s="6">
        <f t="shared" si="20"/>
        <v>13.2</v>
      </c>
      <c r="L643" s="4" t="str">
        <f t="shared" si="21"/>
        <v>Normal</v>
      </c>
    </row>
    <row r="644" spans="1:12" ht="18" customHeight="1" x14ac:dyDescent="0.3">
      <c r="A644" s="1">
        <v>86338</v>
      </c>
      <c r="B644" s="1" t="str">
        <f>VLOOKUP( WeatherData[[#This Row],[Station Number]], 'Station Numbers'!A:B,2,FALSE)</f>
        <v xml:space="preserve">Melbourne (Olympic Park) </v>
      </c>
      <c r="C644" s="1">
        <v>2020</v>
      </c>
      <c r="D644" s="1">
        <v>10</v>
      </c>
      <c r="E644" s="1">
        <v>3</v>
      </c>
      <c r="F644" s="2">
        <f>DATE(WeatherData[[#This Row],[Year]],WeatherData[[#This Row],[Month]],WeatherData[[#This Row],[Day]])</f>
        <v>44107</v>
      </c>
      <c r="G644" s="2" t="str">
        <f>TEXT(WeatherData[[#This Row],[Date]], "mmmm")</f>
        <v>October</v>
      </c>
      <c r="H644" s="16">
        <v>0</v>
      </c>
      <c r="I644" s="16">
        <v>29.4</v>
      </c>
      <c r="J644" s="16">
        <v>17.399999999999999</v>
      </c>
      <c r="K644" s="6">
        <f t="shared" si="20"/>
        <v>12</v>
      </c>
      <c r="L644" s="4" t="str">
        <f t="shared" si="21"/>
        <v>Normal</v>
      </c>
    </row>
    <row r="645" spans="1:12" ht="18" customHeight="1" x14ac:dyDescent="0.3">
      <c r="A645" s="1">
        <v>86338</v>
      </c>
      <c r="B645" s="1" t="str">
        <f>VLOOKUP( WeatherData[[#This Row],[Station Number]], 'Station Numbers'!A:B,2,FALSE)</f>
        <v xml:space="preserve">Melbourne (Olympic Park) </v>
      </c>
      <c r="C645" s="1">
        <v>2020</v>
      </c>
      <c r="D645" s="1">
        <v>10</v>
      </c>
      <c r="E645" s="1">
        <v>4</v>
      </c>
      <c r="F645" s="2">
        <f>DATE(WeatherData[[#This Row],[Year]],WeatherData[[#This Row],[Month]],WeatherData[[#This Row],[Day]])</f>
        <v>44108</v>
      </c>
      <c r="G645" s="2" t="str">
        <f>TEXT(WeatherData[[#This Row],[Date]], "mmmm")</f>
        <v>October</v>
      </c>
      <c r="H645" s="16">
        <v>0</v>
      </c>
      <c r="I645" s="16">
        <v>29.5</v>
      </c>
      <c r="J645" s="16">
        <v>13.5</v>
      </c>
      <c r="K645" s="6">
        <f t="shared" si="20"/>
        <v>16</v>
      </c>
      <c r="L645" s="4" t="str">
        <f t="shared" si="21"/>
        <v>Normal</v>
      </c>
    </row>
    <row r="646" spans="1:12" ht="18" customHeight="1" x14ac:dyDescent="0.3">
      <c r="A646" s="1">
        <v>86338</v>
      </c>
      <c r="B646" s="1" t="str">
        <f>VLOOKUP( WeatherData[[#This Row],[Station Number]], 'Station Numbers'!A:B,2,FALSE)</f>
        <v xml:space="preserve">Melbourne (Olympic Park) </v>
      </c>
      <c r="C646" s="1">
        <v>2020</v>
      </c>
      <c r="D646" s="1">
        <v>10</v>
      </c>
      <c r="E646" s="1">
        <v>5</v>
      </c>
      <c r="F646" s="2">
        <f>DATE(WeatherData[[#This Row],[Year]],WeatherData[[#This Row],[Month]],WeatherData[[#This Row],[Day]])</f>
        <v>44109</v>
      </c>
      <c r="G646" s="2" t="str">
        <f>TEXT(WeatherData[[#This Row],[Date]], "mmmm")</f>
        <v>October</v>
      </c>
      <c r="H646" s="16">
        <v>12.8</v>
      </c>
      <c r="I646" s="16">
        <v>12.7</v>
      </c>
      <c r="J646" s="16">
        <v>9.1</v>
      </c>
      <c r="K646" s="6">
        <f t="shared" si="20"/>
        <v>3.5999999999999996</v>
      </c>
      <c r="L646" s="4" t="str">
        <f t="shared" si="21"/>
        <v>Normal</v>
      </c>
    </row>
    <row r="647" spans="1:12" ht="18" customHeight="1" x14ac:dyDescent="0.3">
      <c r="A647" s="1">
        <v>86338</v>
      </c>
      <c r="B647" s="1" t="str">
        <f>VLOOKUP( WeatherData[[#This Row],[Station Number]], 'Station Numbers'!A:B,2,FALSE)</f>
        <v xml:space="preserve">Melbourne (Olympic Park) </v>
      </c>
      <c r="C647" s="1">
        <v>2020</v>
      </c>
      <c r="D647" s="1">
        <v>10</v>
      </c>
      <c r="E647" s="1">
        <v>6</v>
      </c>
      <c r="F647" s="2">
        <f>DATE(WeatherData[[#This Row],[Year]],WeatherData[[#This Row],[Month]],WeatherData[[#This Row],[Day]])</f>
        <v>44110</v>
      </c>
      <c r="G647" s="2" t="str">
        <f>TEXT(WeatherData[[#This Row],[Date]], "mmmm")</f>
        <v>October</v>
      </c>
      <c r="H647" s="16">
        <v>1</v>
      </c>
      <c r="I647" s="16">
        <v>12.6</v>
      </c>
      <c r="J647" s="16">
        <v>8.9</v>
      </c>
      <c r="K647" s="6">
        <f t="shared" si="20"/>
        <v>3.6999999999999993</v>
      </c>
      <c r="L647" s="4" t="str">
        <f t="shared" si="21"/>
        <v>Normal</v>
      </c>
    </row>
    <row r="648" spans="1:12" ht="18" customHeight="1" x14ac:dyDescent="0.3">
      <c r="A648" s="1">
        <v>86338</v>
      </c>
      <c r="B648" s="1" t="str">
        <f>VLOOKUP( WeatherData[[#This Row],[Station Number]], 'Station Numbers'!A:B,2,FALSE)</f>
        <v xml:space="preserve">Melbourne (Olympic Park) </v>
      </c>
      <c r="C648" s="1">
        <v>2020</v>
      </c>
      <c r="D648" s="1">
        <v>10</v>
      </c>
      <c r="E648" s="1">
        <v>7</v>
      </c>
      <c r="F648" s="2">
        <f>DATE(WeatherData[[#This Row],[Year]],WeatherData[[#This Row],[Month]],WeatherData[[#This Row],[Day]])</f>
        <v>44111</v>
      </c>
      <c r="G648" s="2" t="str">
        <f>TEXT(WeatherData[[#This Row],[Date]], "mmmm")</f>
        <v>October</v>
      </c>
      <c r="H648" s="16">
        <v>3.2</v>
      </c>
      <c r="I648" s="16">
        <v>17.2</v>
      </c>
      <c r="J648" s="16">
        <v>10.1</v>
      </c>
      <c r="K648" s="6">
        <f t="shared" si="20"/>
        <v>7.1</v>
      </c>
      <c r="L648" s="4" t="str">
        <f t="shared" si="21"/>
        <v>Normal</v>
      </c>
    </row>
    <row r="649" spans="1:12" ht="18" customHeight="1" x14ac:dyDescent="0.3">
      <c r="A649" s="1">
        <v>86338</v>
      </c>
      <c r="B649" s="1" t="str">
        <f>VLOOKUP( WeatherData[[#This Row],[Station Number]], 'Station Numbers'!A:B,2,FALSE)</f>
        <v xml:space="preserve">Melbourne (Olympic Park) </v>
      </c>
      <c r="C649" s="1">
        <v>2020</v>
      </c>
      <c r="D649" s="1">
        <v>10</v>
      </c>
      <c r="E649" s="1">
        <v>8</v>
      </c>
      <c r="F649" s="2">
        <f>DATE(WeatherData[[#This Row],[Year]],WeatherData[[#This Row],[Month]],WeatherData[[#This Row],[Day]])</f>
        <v>44112</v>
      </c>
      <c r="G649" s="2" t="str">
        <f>TEXT(WeatherData[[#This Row],[Date]], "mmmm")</f>
        <v>October</v>
      </c>
      <c r="H649" s="16">
        <v>5.4</v>
      </c>
      <c r="I649" s="16">
        <v>16.899999999999999</v>
      </c>
      <c r="J649" s="16">
        <v>11.4</v>
      </c>
      <c r="K649" s="6">
        <f t="shared" si="20"/>
        <v>5.4999999999999982</v>
      </c>
      <c r="L649" s="4" t="str">
        <f t="shared" si="21"/>
        <v>Normal</v>
      </c>
    </row>
    <row r="650" spans="1:12" ht="18" customHeight="1" x14ac:dyDescent="0.3">
      <c r="A650" s="1">
        <v>86338</v>
      </c>
      <c r="B650" s="1" t="str">
        <f>VLOOKUP( WeatherData[[#This Row],[Station Number]], 'Station Numbers'!A:B,2,FALSE)</f>
        <v xml:space="preserve">Melbourne (Olympic Park) </v>
      </c>
      <c r="C650" s="1">
        <v>2020</v>
      </c>
      <c r="D650" s="1">
        <v>10</v>
      </c>
      <c r="E650" s="1">
        <v>9</v>
      </c>
      <c r="F650" s="2">
        <f>DATE(WeatherData[[#This Row],[Year]],WeatherData[[#This Row],[Month]],WeatherData[[#This Row],[Day]])</f>
        <v>44113</v>
      </c>
      <c r="G650" s="2" t="str">
        <f>TEXT(WeatherData[[#This Row],[Date]], "mmmm")</f>
        <v>October</v>
      </c>
      <c r="H650" s="16">
        <v>1.2</v>
      </c>
      <c r="I650" s="16">
        <v>16.7</v>
      </c>
      <c r="J650" s="16">
        <v>11.7</v>
      </c>
      <c r="K650" s="6">
        <f t="shared" si="20"/>
        <v>5</v>
      </c>
      <c r="L650" s="4" t="str">
        <f t="shared" si="21"/>
        <v>Normal</v>
      </c>
    </row>
    <row r="651" spans="1:12" ht="18" customHeight="1" x14ac:dyDescent="0.3">
      <c r="A651" s="1">
        <v>86338</v>
      </c>
      <c r="B651" s="1" t="str">
        <f>VLOOKUP( WeatherData[[#This Row],[Station Number]], 'Station Numbers'!A:B,2,FALSE)</f>
        <v xml:space="preserve">Melbourne (Olympic Park) </v>
      </c>
      <c r="C651" s="1">
        <v>2020</v>
      </c>
      <c r="D651" s="1">
        <v>10</v>
      </c>
      <c r="E651" s="1">
        <v>10</v>
      </c>
      <c r="F651" s="2">
        <f>DATE(WeatherData[[#This Row],[Year]],WeatherData[[#This Row],[Month]],WeatherData[[#This Row],[Day]])</f>
        <v>44114</v>
      </c>
      <c r="G651" s="2" t="str">
        <f>TEXT(WeatherData[[#This Row],[Date]], "mmmm")</f>
        <v>October</v>
      </c>
      <c r="H651" s="16">
        <v>0</v>
      </c>
      <c r="I651" s="16">
        <v>19.399999999999999</v>
      </c>
      <c r="J651" s="16">
        <v>10.8</v>
      </c>
      <c r="K651" s="6">
        <f t="shared" si="20"/>
        <v>8.5999999999999979</v>
      </c>
      <c r="L651" s="4" t="str">
        <f t="shared" si="21"/>
        <v>Normal</v>
      </c>
    </row>
    <row r="652" spans="1:12" ht="18" customHeight="1" x14ac:dyDescent="0.3">
      <c r="A652" s="1">
        <v>86338</v>
      </c>
      <c r="B652" s="1" t="str">
        <f>VLOOKUP( WeatherData[[#This Row],[Station Number]], 'Station Numbers'!A:B,2,FALSE)</f>
        <v xml:space="preserve">Melbourne (Olympic Park) </v>
      </c>
      <c r="C652" s="1">
        <v>2020</v>
      </c>
      <c r="D652" s="1">
        <v>10</v>
      </c>
      <c r="E652" s="1">
        <v>11</v>
      </c>
      <c r="F652" s="2">
        <f>DATE(WeatherData[[#This Row],[Year]],WeatherData[[#This Row],[Month]],WeatherData[[#This Row],[Day]])</f>
        <v>44115</v>
      </c>
      <c r="G652" s="2" t="str">
        <f>TEXT(WeatherData[[#This Row],[Date]], "mmmm")</f>
        <v>October</v>
      </c>
      <c r="H652" s="16">
        <v>0</v>
      </c>
      <c r="I652" s="16">
        <v>16</v>
      </c>
      <c r="J652" s="16">
        <v>11.5</v>
      </c>
      <c r="K652" s="6">
        <f t="shared" si="20"/>
        <v>4.5</v>
      </c>
      <c r="L652" s="4" t="str">
        <f t="shared" si="21"/>
        <v>Normal</v>
      </c>
    </row>
    <row r="653" spans="1:12" ht="18" customHeight="1" x14ac:dyDescent="0.3">
      <c r="A653" s="1">
        <v>86338</v>
      </c>
      <c r="B653" s="1" t="str">
        <f>VLOOKUP( WeatherData[[#This Row],[Station Number]], 'Station Numbers'!A:B,2,FALSE)</f>
        <v xml:space="preserve">Melbourne (Olympic Park) </v>
      </c>
      <c r="C653" s="1">
        <v>2020</v>
      </c>
      <c r="D653" s="1">
        <v>10</v>
      </c>
      <c r="E653" s="1">
        <v>12</v>
      </c>
      <c r="F653" s="2">
        <f>DATE(WeatherData[[#This Row],[Year]],WeatherData[[#This Row],[Month]],WeatherData[[#This Row],[Day]])</f>
        <v>44116</v>
      </c>
      <c r="G653" s="2" t="str">
        <f>TEXT(WeatherData[[#This Row],[Date]], "mmmm")</f>
        <v>October</v>
      </c>
      <c r="H653" s="16">
        <v>0</v>
      </c>
      <c r="I653" s="16">
        <v>25.5</v>
      </c>
      <c r="J653" s="16">
        <v>6.3</v>
      </c>
      <c r="K653" s="6">
        <f t="shared" si="20"/>
        <v>19.2</v>
      </c>
      <c r="L653" s="4" t="str">
        <f t="shared" si="21"/>
        <v>Normal</v>
      </c>
    </row>
    <row r="654" spans="1:12" ht="18" customHeight="1" x14ac:dyDescent="0.3">
      <c r="A654" s="1">
        <v>86338</v>
      </c>
      <c r="B654" s="1" t="str">
        <f>VLOOKUP( WeatherData[[#This Row],[Station Number]], 'Station Numbers'!A:B,2,FALSE)</f>
        <v xml:space="preserve">Melbourne (Olympic Park) </v>
      </c>
      <c r="C654" s="1">
        <v>2020</v>
      </c>
      <c r="D654" s="1">
        <v>10</v>
      </c>
      <c r="E654" s="1">
        <v>13</v>
      </c>
      <c r="F654" s="2">
        <f>DATE(WeatherData[[#This Row],[Year]],WeatherData[[#This Row],[Month]],WeatherData[[#This Row],[Day]])</f>
        <v>44117</v>
      </c>
      <c r="G654" s="2" t="str">
        <f>TEXT(WeatherData[[#This Row],[Date]], "mmmm")</f>
        <v>October</v>
      </c>
      <c r="H654" s="16">
        <v>0.2</v>
      </c>
      <c r="I654" s="16">
        <v>16.600000000000001</v>
      </c>
      <c r="J654" s="16">
        <v>10.6</v>
      </c>
      <c r="K654" s="6">
        <f t="shared" si="20"/>
        <v>6.0000000000000018</v>
      </c>
      <c r="L654" s="4" t="str">
        <f t="shared" si="21"/>
        <v>Normal</v>
      </c>
    </row>
    <row r="655" spans="1:12" ht="18" customHeight="1" x14ac:dyDescent="0.3">
      <c r="A655" s="1">
        <v>86338</v>
      </c>
      <c r="B655" s="1" t="str">
        <f>VLOOKUP( WeatherData[[#This Row],[Station Number]], 'Station Numbers'!A:B,2,FALSE)</f>
        <v xml:space="preserve">Melbourne (Olympic Park) </v>
      </c>
      <c r="C655" s="1">
        <v>2020</v>
      </c>
      <c r="D655" s="1">
        <v>10</v>
      </c>
      <c r="E655" s="1">
        <v>14</v>
      </c>
      <c r="F655" s="2">
        <f>DATE(WeatherData[[#This Row],[Year]],WeatherData[[#This Row],[Month]],WeatherData[[#This Row],[Day]])</f>
        <v>44118</v>
      </c>
      <c r="G655" s="2" t="str">
        <f>TEXT(WeatherData[[#This Row],[Date]], "mmmm")</f>
        <v>October</v>
      </c>
      <c r="H655" s="16">
        <v>0</v>
      </c>
      <c r="I655" s="16">
        <v>22.7</v>
      </c>
      <c r="J655" s="16">
        <v>11.9</v>
      </c>
      <c r="K655" s="6">
        <f t="shared" si="20"/>
        <v>10.799999999999999</v>
      </c>
      <c r="L655" s="4" t="str">
        <f t="shared" si="21"/>
        <v>Normal</v>
      </c>
    </row>
    <row r="656" spans="1:12" ht="18" customHeight="1" x14ac:dyDescent="0.3">
      <c r="A656" s="1">
        <v>86338</v>
      </c>
      <c r="B656" s="1" t="str">
        <f>VLOOKUP( WeatherData[[#This Row],[Station Number]], 'Station Numbers'!A:B,2,FALSE)</f>
        <v xml:space="preserve">Melbourne (Olympic Park) </v>
      </c>
      <c r="C656" s="1">
        <v>2020</v>
      </c>
      <c r="D656" s="1">
        <v>10</v>
      </c>
      <c r="E656" s="1">
        <v>15</v>
      </c>
      <c r="F656" s="2">
        <f>DATE(WeatherData[[#This Row],[Year]],WeatherData[[#This Row],[Month]],WeatherData[[#This Row],[Day]])</f>
        <v>44119</v>
      </c>
      <c r="G656" s="2" t="str">
        <f>TEXT(WeatherData[[#This Row],[Date]], "mmmm")</f>
        <v>October</v>
      </c>
      <c r="H656" s="16">
        <v>0</v>
      </c>
      <c r="I656" s="16">
        <v>24.8</v>
      </c>
      <c r="J656" s="16">
        <v>13.8</v>
      </c>
      <c r="K656" s="6">
        <f t="shared" si="20"/>
        <v>11</v>
      </c>
      <c r="L656" s="4" t="str">
        <f t="shared" si="21"/>
        <v>Normal</v>
      </c>
    </row>
    <row r="657" spans="1:12" ht="18" customHeight="1" x14ac:dyDescent="0.3">
      <c r="A657" s="1">
        <v>86338</v>
      </c>
      <c r="B657" s="1" t="str">
        <f>VLOOKUP( WeatherData[[#This Row],[Station Number]], 'Station Numbers'!A:B,2,FALSE)</f>
        <v xml:space="preserve">Melbourne (Olympic Park) </v>
      </c>
      <c r="C657" s="1">
        <v>2020</v>
      </c>
      <c r="D657" s="1">
        <v>10</v>
      </c>
      <c r="E657" s="1">
        <v>16</v>
      </c>
      <c r="F657" s="2">
        <f>DATE(WeatherData[[#This Row],[Year]],WeatherData[[#This Row],[Month]],WeatherData[[#This Row],[Day]])</f>
        <v>44120</v>
      </c>
      <c r="G657" s="2" t="str">
        <f>TEXT(WeatherData[[#This Row],[Date]], "mmmm")</f>
        <v>October</v>
      </c>
      <c r="H657" s="16">
        <v>1.4</v>
      </c>
      <c r="I657" s="16">
        <v>18.2</v>
      </c>
      <c r="J657" s="16">
        <v>9.4</v>
      </c>
      <c r="K657" s="6">
        <f t="shared" si="20"/>
        <v>8.7999999999999989</v>
      </c>
      <c r="L657" s="4" t="str">
        <f t="shared" si="21"/>
        <v>Normal</v>
      </c>
    </row>
    <row r="658" spans="1:12" ht="18" customHeight="1" x14ac:dyDescent="0.3">
      <c r="A658" s="1">
        <v>86338</v>
      </c>
      <c r="B658" s="1" t="str">
        <f>VLOOKUP( WeatherData[[#This Row],[Station Number]], 'Station Numbers'!A:B,2,FALSE)</f>
        <v xml:space="preserve">Melbourne (Olympic Park) </v>
      </c>
      <c r="C658" s="1">
        <v>2020</v>
      </c>
      <c r="D658" s="1">
        <v>10</v>
      </c>
      <c r="E658" s="1">
        <v>17</v>
      </c>
      <c r="F658" s="2">
        <f>DATE(WeatherData[[#This Row],[Year]],WeatherData[[#This Row],[Month]],WeatherData[[#This Row],[Day]])</f>
        <v>44121</v>
      </c>
      <c r="G658" s="2" t="str">
        <f>TEXT(WeatherData[[#This Row],[Date]], "mmmm")</f>
        <v>October</v>
      </c>
      <c r="H658" s="16">
        <v>8.4</v>
      </c>
      <c r="I658" s="16">
        <v>19.2</v>
      </c>
      <c r="J658" s="16">
        <v>11.9</v>
      </c>
      <c r="K658" s="6">
        <f t="shared" si="20"/>
        <v>7.2999999999999989</v>
      </c>
      <c r="L658" s="4" t="str">
        <f t="shared" si="21"/>
        <v>Normal</v>
      </c>
    </row>
    <row r="659" spans="1:12" ht="18" customHeight="1" x14ac:dyDescent="0.3">
      <c r="A659" s="1">
        <v>86338</v>
      </c>
      <c r="B659" s="1" t="str">
        <f>VLOOKUP( WeatherData[[#This Row],[Station Number]], 'Station Numbers'!A:B,2,FALSE)</f>
        <v xml:space="preserve">Melbourne (Olympic Park) </v>
      </c>
      <c r="C659" s="1">
        <v>2020</v>
      </c>
      <c r="D659" s="1">
        <v>10</v>
      </c>
      <c r="E659" s="1">
        <v>18</v>
      </c>
      <c r="F659" s="2">
        <f>DATE(WeatherData[[#This Row],[Year]],WeatherData[[#This Row],[Month]],WeatherData[[#This Row],[Day]])</f>
        <v>44122</v>
      </c>
      <c r="G659" s="2" t="str">
        <f>TEXT(WeatherData[[#This Row],[Date]], "mmmm")</f>
        <v>October</v>
      </c>
      <c r="H659" s="16">
        <v>0.2</v>
      </c>
      <c r="I659" s="16">
        <v>15.2</v>
      </c>
      <c r="J659" s="16">
        <v>11.3</v>
      </c>
      <c r="K659" s="6">
        <f t="shared" si="20"/>
        <v>3.8999999999999986</v>
      </c>
      <c r="L659" s="4" t="str">
        <f t="shared" si="21"/>
        <v>Normal</v>
      </c>
    </row>
    <row r="660" spans="1:12" ht="18" customHeight="1" x14ac:dyDescent="0.3">
      <c r="A660" s="1">
        <v>86338</v>
      </c>
      <c r="B660" s="1" t="str">
        <f>VLOOKUP( WeatherData[[#This Row],[Station Number]], 'Station Numbers'!A:B,2,FALSE)</f>
        <v xml:space="preserve">Melbourne (Olympic Park) </v>
      </c>
      <c r="C660" s="1">
        <v>2020</v>
      </c>
      <c r="D660" s="1">
        <v>10</v>
      </c>
      <c r="E660" s="1">
        <v>19</v>
      </c>
      <c r="F660" s="2">
        <f>DATE(WeatherData[[#This Row],[Year]],WeatherData[[#This Row],[Month]],WeatherData[[#This Row],[Day]])</f>
        <v>44123</v>
      </c>
      <c r="G660" s="2" t="str">
        <f>TEXT(WeatherData[[#This Row],[Date]], "mmmm")</f>
        <v>October</v>
      </c>
      <c r="H660" s="16">
        <v>0</v>
      </c>
      <c r="I660" s="16">
        <v>15.5</v>
      </c>
      <c r="J660" s="16">
        <v>8.1999999999999993</v>
      </c>
      <c r="K660" s="6">
        <f t="shared" si="20"/>
        <v>7.3000000000000007</v>
      </c>
      <c r="L660" s="4" t="str">
        <f t="shared" si="21"/>
        <v>Normal</v>
      </c>
    </row>
    <row r="661" spans="1:12" ht="18" customHeight="1" x14ac:dyDescent="0.3">
      <c r="A661" s="1">
        <v>86338</v>
      </c>
      <c r="B661" s="1" t="str">
        <f>VLOOKUP( WeatherData[[#This Row],[Station Number]], 'Station Numbers'!A:B,2,FALSE)</f>
        <v xml:space="preserve">Melbourne (Olympic Park) </v>
      </c>
      <c r="C661" s="1">
        <v>2020</v>
      </c>
      <c r="D661" s="1">
        <v>10</v>
      </c>
      <c r="E661" s="1">
        <v>20</v>
      </c>
      <c r="F661" s="2">
        <f>DATE(WeatherData[[#This Row],[Year]],WeatherData[[#This Row],[Month]],WeatherData[[#This Row],[Day]])</f>
        <v>44124</v>
      </c>
      <c r="G661" s="2" t="str">
        <f>TEXT(WeatherData[[#This Row],[Date]], "mmmm")</f>
        <v>October</v>
      </c>
      <c r="H661" s="16">
        <v>0</v>
      </c>
      <c r="I661" s="16">
        <v>16.600000000000001</v>
      </c>
      <c r="J661" s="16">
        <v>7.3</v>
      </c>
      <c r="K661" s="6">
        <f t="shared" si="20"/>
        <v>9.3000000000000007</v>
      </c>
      <c r="L661" s="4" t="str">
        <f t="shared" si="21"/>
        <v>Normal</v>
      </c>
    </row>
    <row r="662" spans="1:12" ht="18" customHeight="1" x14ac:dyDescent="0.3">
      <c r="A662" s="1">
        <v>86338</v>
      </c>
      <c r="B662" s="1" t="str">
        <f>VLOOKUP( WeatherData[[#This Row],[Station Number]], 'Station Numbers'!A:B,2,FALSE)</f>
        <v xml:space="preserve">Melbourne (Olympic Park) </v>
      </c>
      <c r="C662" s="1">
        <v>2020</v>
      </c>
      <c r="D662" s="1">
        <v>10</v>
      </c>
      <c r="E662" s="1">
        <v>21</v>
      </c>
      <c r="F662" s="2">
        <f>DATE(WeatherData[[#This Row],[Year]],WeatherData[[#This Row],[Month]],WeatherData[[#This Row],[Day]])</f>
        <v>44125</v>
      </c>
      <c r="G662" s="2" t="str">
        <f>TEXT(WeatherData[[#This Row],[Date]], "mmmm")</f>
        <v>October</v>
      </c>
      <c r="H662" s="16">
        <v>0</v>
      </c>
      <c r="I662" s="16">
        <v>18.100000000000001</v>
      </c>
      <c r="J662" s="16">
        <v>10.4</v>
      </c>
      <c r="K662" s="6">
        <f t="shared" si="20"/>
        <v>7.7000000000000011</v>
      </c>
      <c r="L662" s="4" t="str">
        <f t="shared" si="21"/>
        <v>Normal</v>
      </c>
    </row>
    <row r="663" spans="1:12" ht="18" customHeight="1" x14ac:dyDescent="0.3">
      <c r="A663" s="1">
        <v>86338</v>
      </c>
      <c r="B663" s="1" t="str">
        <f>VLOOKUP( WeatherData[[#This Row],[Station Number]], 'Station Numbers'!A:B,2,FALSE)</f>
        <v xml:space="preserve">Melbourne (Olympic Park) </v>
      </c>
      <c r="C663" s="1">
        <v>2020</v>
      </c>
      <c r="D663" s="1">
        <v>10</v>
      </c>
      <c r="E663" s="1">
        <v>22</v>
      </c>
      <c r="F663" s="2">
        <f>DATE(WeatherData[[#This Row],[Year]],WeatherData[[#This Row],[Month]],WeatherData[[#This Row],[Day]])</f>
        <v>44126</v>
      </c>
      <c r="G663" s="2" t="str">
        <f>TEXT(WeatherData[[#This Row],[Date]], "mmmm")</f>
        <v>October</v>
      </c>
      <c r="H663" s="16">
        <v>0</v>
      </c>
      <c r="I663" s="16">
        <v>18</v>
      </c>
      <c r="J663" s="16">
        <v>9.1999999999999993</v>
      </c>
      <c r="K663" s="6">
        <f t="shared" si="20"/>
        <v>8.8000000000000007</v>
      </c>
      <c r="L663" s="4" t="str">
        <f t="shared" si="21"/>
        <v>Normal</v>
      </c>
    </row>
    <row r="664" spans="1:12" ht="18" customHeight="1" x14ac:dyDescent="0.3">
      <c r="A664" s="1">
        <v>86338</v>
      </c>
      <c r="B664" s="1" t="str">
        <f>VLOOKUP( WeatherData[[#This Row],[Station Number]], 'Station Numbers'!A:B,2,FALSE)</f>
        <v xml:space="preserve">Melbourne (Olympic Park) </v>
      </c>
      <c r="C664" s="1">
        <v>2020</v>
      </c>
      <c r="D664" s="1">
        <v>10</v>
      </c>
      <c r="E664" s="1">
        <v>23</v>
      </c>
      <c r="F664" s="2">
        <f>DATE(WeatherData[[#This Row],[Year]],WeatherData[[#This Row],[Month]],WeatherData[[#This Row],[Day]])</f>
        <v>44127</v>
      </c>
      <c r="G664" s="2" t="str">
        <f>TEXT(WeatherData[[#This Row],[Date]], "mmmm")</f>
        <v>October</v>
      </c>
      <c r="H664" s="16">
        <v>0</v>
      </c>
      <c r="I664" s="16">
        <v>19.7</v>
      </c>
      <c r="J664" s="16">
        <v>12.9</v>
      </c>
      <c r="K664" s="6">
        <f t="shared" si="20"/>
        <v>6.7999999999999989</v>
      </c>
      <c r="L664" s="4" t="str">
        <f t="shared" si="21"/>
        <v>Normal</v>
      </c>
    </row>
    <row r="665" spans="1:12" ht="18" customHeight="1" x14ac:dyDescent="0.3">
      <c r="A665" s="1">
        <v>86338</v>
      </c>
      <c r="B665" s="1" t="str">
        <f>VLOOKUP( WeatherData[[#This Row],[Station Number]], 'Station Numbers'!A:B,2,FALSE)</f>
        <v xml:space="preserve">Melbourne (Olympic Park) </v>
      </c>
      <c r="C665" s="1">
        <v>2020</v>
      </c>
      <c r="D665" s="1">
        <v>10</v>
      </c>
      <c r="E665" s="1">
        <v>24</v>
      </c>
      <c r="F665" s="2">
        <f>DATE(WeatherData[[#This Row],[Year]],WeatherData[[#This Row],[Month]],WeatherData[[#This Row],[Day]])</f>
        <v>44128</v>
      </c>
      <c r="G665" s="2" t="str">
        <f>TEXT(WeatherData[[#This Row],[Date]], "mmmm")</f>
        <v>October</v>
      </c>
      <c r="H665" s="16">
        <v>32.200000000000003</v>
      </c>
      <c r="I665" s="16">
        <v>14.9</v>
      </c>
      <c r="J665" s="16">
        <v>11.8</v>
      </c>
      <c r="K665" s="6">
        <f t="shared" si="20"/>
        <v>3.0999999999999996</v>
      </c>
      <c r="L665" s="4" t="str">
        <f t="shared" si="21"/>
        <v>Heavy Rain</v>
      </c>
    </row>
    <row r="666" spans="1:12" ht="18" customHeight="1" x14ac:dyDescent="0.3">
      <c r="A666" s="1">
        <v>86338</v>
      </c>
      <c r="B666" s="1" t="str">
        <f>VLOOKUP( WeatherData[[#This Row],[Station Number]], 'Station Numbers'!A:B,2,FALSE)</f>
        <v xml:space="preserve">Melbourne (Olympic Park) </v>
      </c>
      <c r="C666" s="1">
        <v>2020</v>
      </c>
      <c r="D666" s="1">
        <v>10</v>
      </c>
      <c r="E666" s="1">
        <v>25</v>
      </c>
      <c r="F666" s="2">
        <f>DATE(WeatherData[[#This Row],[Year]],WeatherData[[#This Row],[Month]],WeatherData[[#This Row],[Day]])</f>
        <v>44129</v>
      </c>
      <c r="G666" s="2" t="str">
        <f>TEXT(WeatherData[[#This Row],[Date]], "mmmm")</f>
        <v>October</v>
      </c>
      <c r="H666" s="16">
        <v>6.4</v>
      </c>
      <c r="I666" s="16">
        <v>14.6</v>
      </c>
      <c r="J666" s="16">
        <v>8.3000000000000007</v>
      </c>
      <c r="K666" s="6">
        <f t="shared" si="20"/>
        <v>6.2999999999999989</v>
      </c>
      <c r="L666" s="4" t="str">
        <f t="shared" si="21"/>
        <v>Normal</v>
      </c>
    </row>
    <row r="667" spans="1:12" ht="18" customHeight="1" x14ac:dyDescent="0.3">
      <c r="A667" s="1">
        <v>86338</v>
      </c>
      <c r="B667" s="1" t="str">
        <f>VLOOKUP( WeatherData[[#This Row],[Station Number]], 'Station Numbers'!A:B,2,FALSE)</f>
        <v xml:space="preserve">Melbourne (Olympic Park) </v>
      </c>
      <c r="C667" s="1">
        <v>2020</v>
      </c>
      <c r="D667" s="1">
        <v>10</v>
      </c>
      <c r="E667" s="1">
        <v>26</v>
      </c>
      <c r="F667" s="2">
        <f>DATE(WeatherData[[#This Row],[Year]],WeatherData[[#This Row],[Month]],WeatherData[[#This Row],[Day]])</f>
        <v>44130</v>
      </c>
      <c r="G667" s="2" t="str">
        <f>TEXT(WeatherData[[#This Row],[Date]], "mmmm")</f>
        <v>October</v>
      </c>
      <c r="H667" s="16">
        <v>0</v>
      </c>
      <c r="I667" s="16">
        <v>17.899999999999999</v>
      </c>
      <c r="J667" s="16">
        <v>9.1999999999999993</v>
      </c>
      <c r="K667" s="6">
        <f t="shared" si="20"/>
        <v>8.6999999999999993</v>
      </c>
      <c r="L667" s="4" t="str">
        <f t="shared" si="21"/>
        <v>Normal</v>
      </c>
    </row>
    <row r="668" spans="1:12" ht="18" customHeight="1" x14ac:dyDescent="0.3">
      <c r="A668" s="1">
        <v>86338</v>
      </c>
      <c r="B668" s="1" t="str">
        <f>VLOOKUP( WeatherData[[#This Row],[Station Number]], 'Station Numbers'!A:B,2,FALSE)</f>
        <v xml:space="preserve">Melbourne (Olympic Park) </v>
      </c>
      <c r="C668" s="1">
        <v>2020</v>
      </c>
      <c r="D668" s="1">
        <v>10</v>
      </c>
      <c r="E668" s="1">
        <v>27</v>
      </c>
      <c r="F668" s="2">
        <f>DATE(WeatherData[[#This Row],[Year]],WeatherData[[#This Row],[Month]],WeatherData[[#This Row],[Day]])</f>
        <v>44131</v>
      </c>
      <c r="G668" s="2" t="str">
        <f>TEXT(WeatherData[[#This Row],[Date]], "mmmm")</f>
        <v>October</v>
      </c>
      <c r="H668" s="16">
        <v>0</v>
      </c>
      <c r="I668" s="16">
        <v>19.600000000000001</v>
      </c>
      <c r="J668" s="16">
        <v>11.1</v>
      </c>
      <c r="K668" s="6">
        <f t="shared" si="20"/>
        <v>8.5000000000000018</v>
      </c>
      <c r="L668" s="4" t="str">
        <f t="shared" si="21"/>
        <v>Normal</v>
      </c>
    </row>
    <row r="669" spans="1:12" ht="18" customHeight="1" x14ac:dyDescent="0.3">
      <c r="A669" s="1">
        <v>86338</v>
      </c>
      <c r="B669" s="1" t="str">
        <f>VLOOKUP( WeatherData[[#This Row],[Station Number]], 'Station Numbers'!A:B,2,FALSE)</f>
        <v xml:space="preserve">Melbourne (Olympic Park) </v>
      </c>
      <c r="C669" s="1">
        <v>2020</v>
      </c>
      <c r="D669" s="1">
        <v>10</v>
      </c>
      <c r="E669" s="1">
        <v>28</v>
      </c>
      <c r="F669" s="2">
        <f>DATE(WeatherData[[#This Row],[Year]],WeatherData[[#This Row],[Month]],WeatherData[[#This Row],[Day]])</f>
        <v>44132</v>
      </c>
      <c r="G669" s="2" t="str">
        <f>TEXT(WeatherData[[#This Row],[Date]], "mmmm")</f>
        <v>October</v>
      </c>
      <c r="H669" s="16">
        <v>0</v>
      </c>
      <c r="I669" s="16">
        <v>20.9</v>
      </c>
      <c r="J669" s="16">
        <v>9.5</v>
      </c>
      <c r="K669" s="6">
        <f t="shared" si="20"/>
        <v>11.399999999999999</v>
      </c>
      <c r="L669" s="4" t="str">
        <f t="shared" si="21"/>
        <v>Normal</v>
      </c>
    </row>
    <row r="670" spans="1:12" ht="18" customHeight="1" x14ac:dyDescent="0.3">
      <c r="A670" s="1">
        <v>86338</v>
      </c>
      <c r="B670" s="1" t="str">
        <f>VLOOKUP( WeatherData[[#This Row],[Station Number]], 'Station Numbers'!A:B,2,FALSE)</f>
        <v xml:space="preserve">Melbourne (Olympic Park) </v>
      </c>
      <c r="C670" s="1">
        <v>2020</v>
      </c>
      <c r="D670" s="1">
        <v>10</v>
      </c>
      <c r="E670" s="1">
        <v>29</v>
      </c>
      <c r="F670" s="2">
        <f>DATE(WeatherData[[#This Row],[Year]],WeatherData[[#This Row],[Month]],WeatherData[[#This Row],[Day]])</f>
        <v>44133</v>
      </c>
      <c r="G670" s="2" t="str">
        <f>TEXT(WeatherData[[#This Row],[Date]], "mmmm")</f>
        <v>October</v>
      </c>
      <c r="H670" s="16">
        <v>0</v>
      </c>
      <c r="I670" s="16">
        <v>24.3</v>
      </c>
      <c r="J670" s="16">
        <v>11.2</v>
      </c>
      <c r="K670" s="6">
        <f t="shared" si="20"/>
        <v>13.100000000000001</v>
      </c>
      <c r="L670" s="4" t="str">
        <f t="shared" si="21"/>
        <v>Normal</v>
      </c>
    </row>
    <row r="671" spans="1:12" ht="18" customHeight="1" x14ac:dyDescent="0.3">
      <c r="A671" s="1">
        <v>86338</v>
      </c>
      <c r="B671" s="1" t="str">
        <f>VLOOKUP( WeatherData[[#This Row],[Station Number]], 'Station Numbers'!A:B,2,FALSE)</f>
        <v xml:space="preserve">Melbourne (Olympic Park) </v>
      </c>
      <c r="C671" s="1">
        <v>2020</v>
      </c>
      <c r="D671" s="1">
        <v>10</v>
      </c>
      <c r="E671" s="1">
        <v>30</v>
      </c>
      <c r="F671" s="2">
        <f>DATE(WeatherData[[#This Row],[Year]],WeatherData[[#This Row],[Month]],WeatherData[[#This Row],[Day]])</f>
        <v>44134</v>
      </c>
      <c r="G671" s="2" t="str">
        <f>TEXT(WeatherData[[#This Row],[Date]], "mmmm")</f>
        <v>October</v>
      </c>
      <c r="H671" s="16">
        <v>0</v>
      </c>
      <c r="I671" s="16">
        <v>18.600000000000001</v>
      </c>
      <c r="J671" s="16">
        <v>12.9</v>
      </c>
      <c r="K671" s="6">
        <f t="shared" si="20"/>
        <v>5.7000000000000011</v>
      </c>
      <c r="L671" s="4" t="str">
        <f t="shared" si="21"/>
        <v>Normal</v>
      </c>
    </row>
    <row r="672" spans="1:12" ht="18" customHeight="1" x14ac:dyDescent="0.3">
      <c r="A672" s="1">
        <v>86338</v>
      </c>
      <c r="B672" s="1" t="str">
        <f>VLOOKUP( WeatherData[[#This Row],[Station Number]], 'Station Numbers'!A:B,2,FALSE)</f>
        <v xml:space="preserve">Melbourne (Olympic Park) </v>
      </c>
      <c r="C672" s="1">
        <v>2020</v>
      </c>
      <c r="D672" s="1">
        <v>10</v>
      </c>
      <c r="E672" s="1">
        <v>31</v>
      </c>
      <c r="F672" s="2">
        <f>DATE(WeatherData[[#This Row],[Year]],WeatherData[[#This Row],[Month]],WeatherData[[#This Row],[Day]])</f>
        <v>44135</v>
      </c>
      <c r="G672" s="2" t="str">
        <f>TEXT(WeatherData[[#This Row],[Date]], "mmmm")</f>
        <v>October</v>
      </c>
      <c r="H672" s="16">
        <v>0</v>
      </c>
      <c r="I672" s="16">
        <v>16.8</v>
      </c>
      <c r="J672" s="16">
        <v>14.2</v>
      </c>
      <c r="K672" s="6">
        <f t="shared" si="20"/>
        <v>2.6000000000000014</v>
      </c>
      <c r="L672" s="4" t="str">
        <f t="shared" si="21"/>
        <v>Normal</v>
      </c>
    </row>
    <row r="673" spans="1:12" ht="18" customHeight="1" x14ac:dyDescent="0.3">
      <c r="A673" s="1">
        <v>86338</v>
      </c>
      <c r="B673" s="1" t="str">
        <f>VLOOKUP( WeatherData[[#This Row],[Station Number]], 'Station Numbers'!A:B,2,FALSE)</f>
        <v xml:space="preserve">Melbourne (Olympic Park) </v>
      </c>
      <c r="C673" s="1">
        <v>2020</v>
      </c>
      <c r="D673" s="1">
        <v>11</v>
      </c>
      <c r="E673" s="1">
        <v>1</v>
      </c>
      <c r="F673" s="2">
        <f>DATE(WeatherData[[#This Row],[Year]],WeatherData[[#This Row],[Month]],WeatherData[[#This Row],[Day]])</f>
        <v>44136</v>
      </c>
      <c r="G673" s="2" t="str">
        <f>TEXT(WeatherData[[#This Row],[Date]], "mmmm")</f>
        <v>November</v>
      </c>
      <c r="H673" s="16">
        <v>0</v>
      </c>
      <c r="I673" s="16">
        <v>17</v>
      </c>
      <c r="J673" s="16">
        <v>12.6</v>
      </c>
      <c r="K673" s="6">
        <f t="shared" si="20"/>
        <v>4.4000000000000004</v>
      </c>
      <c r="L673" s="4" t="str">
        <f t="shared" si="21"/>
        <v>Normal</v>
      </c>
    </row>
    <row r="674" spans="1:12" ht="18" customHeight="1" x14ac:dyDescent="0.3">
      <c r="A674" s="1">
        <v>86338</v>
      </c>
      <c r="B674" s="1" t="str">
        <f>VLOOKUP( WeatherData[[#This Row],[Station Number]], 'Station Numbers'!A:B,2,FALSE)</f>
        <v xml:space="preserve">Melbourne (Olympic Park) </v>
      </c>
      <c r="C674" s="1">
        <v>2020</v>
      </c>
      <c r="D674" s="1">
        <v>11</v>
      </c>
      <c r="E674" s="1">
        <v>2</v>
      </c>
      <c r="F674" s="2">
        <f>DATE(WeatherData[[#This Row],[Year]],WeatherData[[#This Row],[Month]],WeatherData[[#This Row],[Day]])</f>
        <v>44137</v>
      </c>
      <c r="G674" s="2" t="str">
        <f>TEXT(WeatherData[[#This Row],[Date]], "mmmm")</f>
        <v>November</v>
      </c>
      <c r="H674" s="16">
        <v>0</v>
      </c>
      <c r="I674" s="16">
        <v>29.5</v>
      </c>
      <c r="J674" s="16">
        <v>9.6</v>
      </c>
      <c r="K674" s="6">
        <f t="shared" si="20"/>
        <v>19.899999999999999</v>
      </c>
      <c r="L674" s="4" t="str">
        <f t="shared" si="21"/>
        <v>Normal</v>
      </c>
    </row>
    <row r="675" spans="1:12" ht="18" customHeight="1" x14ac:dyDescent="0.3">
      <c r="A675" s="1">
        <v>86338</v>
      </c>
      <c r="B675" s="1" t="str">
        <f>VLOOKUP( WeatherData[[#This Row],[Station Number]], 'Station Numbers'!A:B,2,FALSE)</f>
        <v xml:space="preserve">Melbourne (Olympic Park) </v>
      </c>
      <c r="C675" s="1">
        <v>2020</v>
      </c>
      <c r="D675" s="1">
        <v>11</v>
      </c>
      <c r="E675" s="1">
        <v>3</v>
      </c>
      <c r="F675" s="2">
        <f>DATE(WeatherData[[#This Row],[Year]],WeatherData[[#This Row],[Month]],WeatherData[[#This Row],[Day]])</f>
        <v>44138</v>
      </c>
      <c r="G675" s="2" t="str">
        <f>TEXT(WeatherData[[#This Row],[Date]], "mmmm")</f>
        <v>November</v>
      </c>
      <c r="H675" s="16">
        <v>0</v>
      </c>
      <c r="I675" s="16">
        <v>30.4</v>
      </c>
      <c r="J675" s="16">
        <v>12.1</v>
      </c>
      <c r="K675" s="6">
        <f t="shared" si="20"/>
        <v>18.299999999999997</v>
      </c>
      <c r="L675" s="4" t="str">
        <f t="shared" si="21"/>
        <v>Normal</v>
      </c>
    </row>
    <row r="676" spans="1:12" ht="18" customHeight="1" x14ac:dyDescent="0.3">
      <c r="A676" s="1">
        <v>86338</v>
      </c>
      <c r="B676" s="1" t="str">
        <f>VLOOKUP( WeatherData[[#This Row],[Station Number]], 'Station Numbers'!A:B,2,FALSE)</f>
        <v xml:space="preserve">Melbourne (Olympic Park) </v>
      </c>
      <c r="C676" s="1">
        <v>2020</v>
      </c>
      <c r="D676" s="1">
        <v>11</v>
      </c>
      <c r="E676" s="1">
        <v>4</v>
      </c>
      <c r="F676" s="2">
        <f>DATE(WeatherData[[#This Row],[Year]],WeatherData[[#This Row],[Month]],WeatherData[[#This Row],[Day]])</f>
        <v>44139</v>
      </c>
      <c r="G676" s="2" t="str">
        <f>TEXT(WeatherData[[#This Row],[Date]], "mmmm")</f>
        <v>November</v>
      </c>
      <c r="H676" s="16">
        <v>0</v>
      </c>
      <c r="I676" s="16">
        <v>22.8</v>
      </c>
      <c r="J676" s="16">
        <v>21.9</v>
      </c>
      <c r="K676" s="6">
        <f t="shared" si="20"/>
        <v>0.90000000000000213</v>
      </c>
      <c r="L676" s="4" t="str">
        <f t="shared" si="21"/>
        <v>Normal</v>
      </c>
    </row>
    <row r="677" spans="1:12" ht="18" customHeight="1" x14ac:dyDescent="0.3">
      <c r="A677" s="1">
        <v>86338</v>
      </c>
      <c r="B677" s="1" t="str">
        <f>VLOOKUP( WeatherData[[#This Row],[Station Number]], 'Station Numbers'!A:B,2,FALSE)</f>
        <v xml:space="preserve">Melbourne (Olympic Park) </v>
      </c>
      <c r="C677" s="1">
        <v>2020</v>
      </c>
      <c r="D677" s="1">
        <v>11</v>
      </c>
      <c r="E677" s="1">
        <v>5</v>
      </c>
      <c r="F677" s="2">
        <f>DATE(WeatherData[[#This Row],[Year]],WeatherData[[#This Row],[Month]],WeatherData[[#This Row],[Day]])</f>
        <v>44140</v>
      </c>
      <c r="G677" s="2" t="str">
        <f>TEXT(WeatherData[[#This Row],[Date]], "mmmm")</f>
        <v>November</v>
      </c>
      <c r="H677" s="16">
        <v>2.8</v>
      </c>
      <c r="I677" s="16">
        <v>15.8</v>
      </c>
      <c r="J677" s="16">
        <v>11.1</v>
      </c>
      <c r="K677" s="6">
        <f t="shared" si="20"/>
        <v>4.7000000000000011</v>
      </c>
      <c r="L677" s="4" t="str">
        <f t="shared" si="21"/>
        <v>Normal</v>
      </c>
    </row>
    <row r="678" spans="1:12" ht="18" customHeight="1" x14ac:dyDescent="0.3">
      <c r="A678" s="1">
        <v>86338</v>
      </c>
      <c r="B678" s="1" t="str">
        <f>VLOOKUP( WeatherData[[#This Row],[Station Number]], 'Station Numbers'!A:B,2,FALSE)</f>
        <v xml:space="preserve">Melbourne (Olympic Park) </v>
      </c>
      <c r="C678" s="1">
        <v>2020</v>
      </c>
      <c r="D678" s="1">
        <v>11</v>
      </c>
      <c r="E678" s="1">
        <v>6</v>
      </c>
      <c r="F678" s="2">
        <f>DATE(WeatherData[[#This Row],[Year]],WeatherData[[#This Row],[Month]],WeatherData[[#This Row],[Day]])</f>
        <v>44141</v>
      </c>
      <c r="G678" s="2" t="str">
        <f>TEXT(WeatherData[[#This Row],[Date]], "mmmm")</f>
        <v>November</v>
      </c>
      <c r="H678" s="16">
        <v>0.2</v>
      </c>
      <c r="I678" s="16">
        <v>16.600000000000001</v>
      </c>
      <c r="J678" s="16">
        <v>9.5</v>
      </c>
      <c r="K678" s="6">
        <f t="shared" si="20"/>
        <v>7.1000000000000014</v>
      </c>
      <c r="L678" s="4" t="str">
        <f t="shared" si="21"/>
        <v>Normal</v>
      </c>
    </row>
    <row r="679" spans="1:12" ht="18" customHeight="1" x14ac:dyDescent="0.3">
      <c r="A679" s="1">
        <v>86338</v>
      </c>
      <c r="B679" s="1" t="str">
        <f>VLOOKUP( WeatherData[[#This Row],[Station Number]], 'Station Numbers'!A:B,2,FALSE)</f>
        <v xml:space="preserve">Melbourne (Olympic Park) </v>
      </c>
      <c r="C679" s="1">
        <v>2020</v>
      </c>
      <c r="D679" s="1">
        <v>11</v>
      </c>
      <c r="E679" s="1">
        <v>7</v>
      </c>
      <c r="F679" s="2">
        <f>DATE(WeatherData[[#This Row],[Year]],WeatherData[[#This Row],[Month]],WeatherData[[#This Row],[Day]])</f>
        <v>44142</v>
      </c>
      <c r="G679" s="2" t="str">
        <f>TEXT(WeatherData[[#This Row],[Date]], "mmmm")</f>
        <v>November</v>
      </c>
      <c r="H679" s="16">
        <v>1.6</v>
      </c>
      <c r="I679" s="16">
        <v>16.100000000000001</v>
      </c>
      <c r="J679" s="16">
        <v>11.3</v>
      </c>
      <c r="K679" s="6">
        <f t="shared" si="20"/>
        <v>4.8000000000000007</v>
      </c>
      <c r="L679" s="4" t="str">
        <f t="shared" si="21"/>
        <v>Normal</v>
      </c>
    </row>
    <row r="680" spans="1:12" ht="18" customHeight="1" x14ac:dyDescent="0.3">
      <c r="A680" s="1">
        <v>86338</v>
      </c>
      <c r="B680" s="1" t="str">
        <f>VLOOKUP( WeatherData[[#This Row],[Station Number]], 'Station Numbers'!A:B,2,FALSE)</f>
        <v xml:space="preserve">Melbourne (Olympic Park) </v>
      </c>
      <c r="C680" s="1">
        <v>2020</v>
      </c>
      <c r="D680" s="1">
        <v>11</v>
      </c>
      <c r="E680" s="1">
        <v>8</v>
      </c>
      <c r="F680" s="2">
        <f>DATE(WeatherData[[#This Row],[Year]],WeatherData[[#This Row],[Month]],WeatherData[[#This Row],[Day]])</f>
        <v>44143</v>
      </c>
      <c r="G680" s="2" t="str">
        <f>TEXT(WeatherData[[#This Row],[Date]], "mmmm")</f>
        <v>November</v>
      </c>
      <c r="H680" s="16">
        <v>0</v>
      </c>
      <c r="I680" s="16">
        <v>19.5</v>
      </c>
      <c r="J680" s="16">
        <v>8.4</v>
      </c>
      <c r="K680" s="6">
        <f t="shared" si="20"/>
        <v>11.1</v>
      </c>
      <c r="L680" s="4" t="str">
        <f t="shared" si="21"/>
        <v>Normal</v>
      </c>
    </row>
    <row r="681" spans="1:12" ht="18" customHeight="1" x14ac:dyDescent="0.3">
      <c r="A681" s="1">
        <v>86338</v>
      </c>
      <c r="B681" s="1" t="str">
        <f>VLOOKUP( WeatherData[[#This Row],[Station Number]], 'Station Numbers'!A:B,2,FALSE)</f>
        <v xml:space="preserve">Melbourne (Olympic Park) </v>
      </c>
      <c r="C681" s="1">
        <v>2020</v>
      </c>
      <c r="D681" s="1">
        <v>11</v>
      </c>
      <c r="E681" s="1">
        <v>9</v>
      </c>
      <c r="F681" s="2">
        <f>DATE(WeatherData[[#This Row],[Year]],WeatherData[[#This Row],[Month]],WeatherData[[#This Row],[Day]])</f>
        <v>44144</v>
      </c>
      <c r="G681" s="2" t="str">
        <f>TEXT(WeatherData[[#This Row],[Date]], "mmmm")</f>
        <v>November</v>
      </c>
      <c r="H681" s="16">
        <v>0</v>
      </c>
      <c r="I681" s="16">
        <v>29</v>
      </c>
      <c r="J681" s="16">
        <v>11.3</v>
      </c>
      <c r="K681" s="6">
        <f t="shared" si="20"/>
        <v>17.7</v>
      </c>
      <c r="L681" s="4" t="str">
        <f t="shared" si="21"/>
        <v>Normal</v>
      </c>
    </row>
    <row r="682" spans="1:12" ht="18" customHeight="1" x14ac:dyDescent="0.3">
      <c r="A682" s="1">
        <v>86338</v>
      </c>
      <c r="B682" s="1" t="str">
        <f>VLOOKUP( WeatherData[[#This Row],[Station Number]], 'Station Numbers'!A:B,2,FALSE)</f>
        <v xml:space="preserve">Melbourne (Olympic Park) </v>
      </c>
      <c r="C682" s="1">
        <v>2020</v>
      </c>
      <c r="D682" s="1">
        <v>11</v>
      </c>
      <c r="E682" s="1">
        <v>10</v>
      </c>
      <c r="F682" s="2">
        <f>DATE(WeatherData[[#This Row],[Year]],WeatherData[[#This Row],[Month]],WeatherData[[#This Row],[Day]])</f>
        <v>44145</v>
      </c>
      <c r="G682" s="2" t="str">
        <f>TEXT(WeatherData[[#This Row],[Date]], "mmmm")</f>
        <v>November</v>
      </c>
      <c r="H682" s="16">
        <v>0</v>
      </c>
      <c r="I682" s="16">
        <v>32</v>
      </c>
      <c r="J682" s="16">
        <v>16.100000000000001</v>
      </c>
      <c r="K682" s="6">
        <f t="shared" si="20"/>
        <v>15.899999999999999</v>
      </c>
      <c r="L682" s="4" t="str">
        <f t="shared" si="21"/>
        <v>Normal</v>
      </c>
    </row>
    <row r="683" spans="1:12" ht="18" customHeight="1" x14ac:dyDescent="0.3">
      <c r="A683" s="1">
        <v>86338</v>
      </c>
      <c r="B683" s="1" t="str">
        <f>VLOOKUP( WeatherData[[#This Row],[Station Number]], 'Station Numbers'!A:B,2,FALSE)</f>
        <v xml:space="preserve">Melbourne (Olympic Park) </v>
      </c>
      <c r="C683" s="1">
        <v>2020</v>
      </c>
      <c r="D683" s="1">
        <v>11</v>
      </c>
      <c r="E683" s="1">
        <v>11</v>
      </c>
      <c r="F683" s="2">
        <f>DATE(WeatherData[[#This Row],[Year]],WeatherData[[#This Row],[Month]],WeatherData[[#This Row],[Day]])</f>
        <v>44146</v>
      </c>
      <c r="G683" s="2" t="str">
        <f>TEXT(WeatherData[[#This Row],[Date]], "mmmm")</f>
        <v>November</v>
      </c>
      <c r="H683" s="16">
        <v>0</v>
      </c>
      <c r="I683" s="16">
        <v>28.3</v>
      </c>
      <c r="J683" s="16">
        <v>22.8</v>
      </c>
      <c r="K683" s="6">
        <f t="shared" si="20"/>
        <v>5.5</v>
      </c>
      <c r="L683" s="4" t="str">
        <f t="shared" si="21"/>
        <v>Normal</v>
      </c>
    </row>
    <row r="684" spans="1:12" ht="18" customHeight="1" x14ac:dyDescent="0.3">
      <c r="A684" s="1">
        <v>86338</v>
      </c>
      <c r="B684" s="1" t="str">
        <f>VLOOKUP( WeatherData[[#This Row],[Station Number]], 'Station Numbers'!A:B,2,FALSE)</f>
        <v xml:space="preserve">Melbourne (Olympic Park) </v>
      </c>
      <c r="C684" s="1">
        <v>2020</v>
      </c>
      <c r="D684" s="1">
        <v>11</v>
      </c>
      <c r="E684" s="1">
        <v>12</v>
      </c>
      <c r="F684" s="2">
        <f>DATE(WeatherData[[#This Row],[Year]],WeatherData[[#This Row],[Month]],WeatherData[[#This Row],[Day]])</f>
        <v>44147</v>
      </c>
      <c r="G684" s="2" t="str">
        <f>TEXT(WeatherData[[#This Row],[Date]], "mmmm")</f>
        <v>November</v>
      </c>
      <c r="H684" s="16">
        <v>4</v>
      </c>
      <c r="I684" s="16">
        <v>25.5</v>
      </c>
      <c r="J684" s="16">
        <v>19.3</v>
      </c>
      <c r="K684" s="6">
        <f t="shared" si="20"/>
        <v>6.1999999999999993</v>
      </c>
      <c r="L684" s="4" t="str">
        <f t="shared" si="21"/>
        <v>Normal</v>
      </c>
    </row>
    <row r="685" spans="1:12" ht="18" customHeight="1" x14ac:dyDescent="0.3">
      <c r="A685" s="1">
        <v>86338</v>
      </c>
      <c r="B685" s="1" t="str">
        <f>VLOOKUP( WeatherData[[#This Row],[Station Number]], 'Station Numbers'!A:B,2,FALSE)</f>
        <v xml:space="preserve">Melbourne (Olympic Park) </v>
      </c>
      <c r="C685" s="1">
        <v>2020</v>
      </c>
      <c r="D685" s="1">
        <v>11</v>
      </c>
      <c r="E685" s="1">
        <v>13</v>
      </c>
      <c r="F685" s="2">
        <f>DATE(WeatherData[[#This Row],[Year]],WeatherData[[#This Row],[Month]],WeatherData[[#This Row],[Day]])</f>
        <v>44148</v>
      </c>
      <c r="G685" s="2" t="str">
        <f>TEXT(WeatherData[[#This Row],[Date]], "mmmm")</f>
        <v>November</v>
      </c>
      <c r="H685" s="16">
        <v>0</v>
      </c>
      <c r="I685" s="16">
        <v>20.6</v>
      </c>
      <c r="J685" s="16">
        <v>15.4</v>
      </c>
      <c r="K685" s="6">
        <f t="shared" si="20"/>
        <v>5.2000000000000011</v>
      </c>
      <c r="L685" s="4" t="str">
        <f t="shared" si="21"/>
        <v>Normal</v>
      </c>
    </row>
    <row r="686" spans="1:12" ht="18" customHeight="1" x14ac:dyDescent="0.3">
      <c r="A686" s="1">
        <v>86338</v>
      </c>
      <c r="B686" s="1" t="str">
        <f>VLOOKUP( WeatherData[[#This Row],[Station Number]], 'Station Numbers'!A:B,2,FALSE)</f>
        <v xml:space="preserve">Melbourne (Olympic Park) </v>
      </c>
      <c r="C686" s="1">
        <v>2020</v>
      </c>
      <c r="D686" s="1">
        <v>11</v>
      </c>
      <c r="E686" s="1">
        <v>14</v>
      </c>
      <c r="F686" s="2">
        <f>DATE(WeatherData[[#This Row],[Year]],WeatherData[[#This Row],[Month]],WeatherData[[#This Row],[Day]])</f>
        <v>44149</v>
      </c>
      <c r="G686" s="2" t="str">
        <f>TEXT(WeatherData[[#This Row],[Date]], "mmmm")</f>
        <v>November</v>
      </c>
      <c r="H686" s="16">
        <v>0.2</v>
      </c>
      <c r="I686" s="16">
        <v>21</v>
      </c>
      <c r="J686" s="16">
        <v>13.5</v>
      </c>
      <c r="K686" s="6">
        <f t="shared" si="20"/>
        <v>7.5</v>
      </c>
      <c r="L686" s="4" t="str">
        <f t="shared" si="21"/>
        <v>Normal</v>
      </c>
    </row>
    <row r="687" spans="1:12" ht="18" customHeight="1" x14ac:dyDescent="0.3">
      <c r="A687" s="1">
        <v>86338</v>
      </c>
      <c r="B687" s="1" t="str">
        <f>VLOOKUP( WeatherData[[#This Row],[Station Number]], 'Station Numbers'!A:B,2,FALSE)</f>
        <v xml:space="preserve">Melbourne (Olympic Park) </v>
      </c>
      <c r="C687" s="1">
        <v>2020</v>
      </c>
      <c r="D687" s="1">
        <v>11</v>
      </c>
      <c r="E687" s="1">
        <v>15</v>
      </c>
      <c r="F687" s="2">
        <f>DATE(WeatherData[[#This Row],[Year]],WeatherData[[#This Row],[Month]],WeatherData[[#This Row],[Day]])</f>
        <v>44150</v>
      </c>
      <c r="G687" s="2" t="str">
        <f>TEXT(WeatherData[[#This Row],[Date]], "mmmm")</f>
        <v>November</v>
      </c>
      <c r="H687" s="16">
        <v>0</v>
      </c>
      <c r="I687" s="16">
        <v>32.5</v>
      </c>
      <c r="J687" s="16">
        <v>12.3</v>
      </c>
      <c r="K687" s="6">
        <f t="shared" si="20"/>
        <v>20.2</v>
      </c>
      <c r="L687" s="4" t="str">
        <f t="shared" si="21"/>
        <v>Normal</v>
      </c>
    </row>
    <row r="688" spans="1:12" ht="18" customHeight="1" x14ac:dyDescent="0.3">
      <c r="A688" s="1">
        <v>86338</v>
      </c>
      <c r="B688" s="1" t="str">
        <f>VLOOKUP( WeatherData[[#This Row],[Station Number]], 'Station Numbers'!A:B,2,FALSE)</f>
        <v xml:space="preserve">Melbourne (Olympic Park) </v>
      </c>
      <c r="C688" s="1">
        <v>2020</v>
      </c>
      <c r="D688" s="1">
        <v>11</v>
      </c>
      <c r="E688" s="1">
        <v>16</v>
      </c>
      <c r="F688" s="2">
        <f>DATE(WeatherData[[#This Row],[Year]],WeatherData[[#This Row],[Month]],WeatherData[[#This Row],[Day]])</f>
        <v>44151</v>
      </c>
      <c r="G688" s="2" t="str">
        <f>TEXT(WeatherData[[#This Row],[Date]], "mmmm")</f>
        <v>November</v>
      </c>
      <c r="H688" s="16">
        <v>0</v>
      </c>
      <c r="I688" s="16">
        <v>24.3</v>
      </c>
      <c r="J688" s="16">
        <v>18.2</v>
      </c>
      <c r="K688" s="6">
        <f t="shared" si="20"/>
        <v>6.1000000000000014</v>
      </c>
      <c r="L688" s="4" t="str">
        <f t="shared" si="21"/>
        <v>Normal</v>
      </c>
    </row>
    <row r="689" spans="1:12" ht="18" customHeight="1" x14ac:dyDescent="0.3">
      <c r="A689" s="1">
        <v>86338</v>
      </c>
      <c r="B689" s="1" t="str">
        <f>VLOOKUP( WeatherData[[#This Row],[Station Number]], 'Station Numbers'!A:B,2,FALSE)</f>
        <v xml:space="preserve">Melbourne (Olympic Park) </v>
      </c>
      <c r="C689" s="1">
        <v>2020</v>
      </c>
      <c r="D689" s="1">
        <v>11</v>
      </c>
      <c r="E689" s="1">
        <v>17</v>
      </c>
      <c r="F689" s="2">
        <f>DATE(WeatherData[[#This Row],[Year]],WeatherData[[#This Row],[Month]],WeatherData[[#This Row],[Day]])</f>
        <v>44152</v>
      </c>
      <c r="G689" s="2" t="str">
        <f>TEXT(WeatherData[[#This Row],[Date]], "mmmm")</f>
        <v>November</v>
      </c>
      <c r="H689" s="16">
        <v>0</v>
      </c>
      <c r="I689" s="16">
        <v>21.1</v>
      </c>
      <c r="J689" s="16">
        <v>11.9</v>
      </c>
      <c r="K689" s="6">
        <f t="shared" si="20"/>
        <v>9.2000000000000011</v>
      </c>
      <c r="L689" s="4" t="str">
        <f t="shared" si="21"/>
        <v>Normal</v>
      </c>
    </row>
    <row r="690" spans="1:12" ht="18" customHeight="1" x14ac:dyDescent="0.3">
      <c r="A690" s="1">
        <v>86338</v>
      </c>
      <c r="B690" s="1" t="str">
        <f>VLOOKUP( WeatherData[[#This Row],[Station Number]], 'Station Numbers'!A:B,2,FALSE)</f>
        <v xml:space="preserve">Melbourne (Olympic Park) </v>
      </c>
      <c r="C690" s="1">
        <v>2020</v>
      </c>
      <c r="D690" s="1">
        <v>11</v>
      </c>
      <c r="E690" s="1">
        <v>18</v>
      </c>
      <c r="F690" s="2">
        <f>DATE(WeatherData[[#This Row],[Year]],WeatherData[[#This Row],[Month]],WeatherData[[#This Row],[Day]])</f>
        <v>44153</v>
      </c>
      <c r="G690" s="2" t="str">
        <f>TEXT(WeatherData[[#This Row],[Date]], "mmmm")</f>
        <v>November</v>
      </c>
      <c r="H690" s="16">
        <v>0</v>
      </c>
      <c r="I690" s="16">
        <v>29.5</v>
      </c>
      <c r="J690" s="16">
        <v>10.8</v>
      </c>
      <c r="K690" s="6">
        <f t="shared" si="20"/>
        <v>18.7</v>
      </c>
      <c r="L690" s="4" t="str">
        <f t="shared" si="21"/>
        <v>Normal</v>
      </c>
    </row>
    <row r="691" spans="1:12" ht="18" customHeight="1" x14ac:dyDescent="0.3">
      <c r="A691" s="1">
        <v>86338</v>
      </c>
      <c r="B691" s="1" t="str">
        <f>VLOOKUP( WeatherData[[#This Row],[Station Number]], 'Station Numbers'!A:B,2,FALSE)</f>
        <v xml:space="preserve">Melbourne (Olympic Park) </v>
      </c>
      <c r="C691" s="1">
        <v>2020</v>
      </c>
      <c r="D691" s="1">
        <v>11</v>
      </c>
      <c r="E691" s="1">
        <v>19</v>
      </c>
      <c r="F691" s="2">
        <f>DATE(WeatherData[[#This Row],[Year]],WeatherData[[#This Row],[Month]],WeatherData[[#This Row],[Day]])</f>
        <v>44154</v>
      </c>
      <c r="G691" s="2" t="str">
        <f>TEXT(WeatherData[[#This Row],[Date]], "mmmm")</f>
        <v>November</v>
      </c>
      <c r="H691" s="16">
        <v>0</v>
      </c>
      <c r="I691" s="16">
        <v>34.4</v>
      </c>
      <c r="J691" s="16">
        <v>16.100000000000001</v>
      </c>
      <c r="K691" s="6">
        <f t="shared" si="20"/>
        <v>18.299999999999997</v>
      </c>
      <c r="L691" s="4" t="str">
        <f t="shared" si="21"/>
        <v>Normal</v>
      </c>
    </row>
    <row r="692" spans="1:12" ht="18" customHeight="1" x14ac:dyDescent="0.3">
      <c r="A692" s="1">
        <v>86338</v>
      </c>
      <c r="B692" s="1" t="str">
        <f>VLOOKUP( WeatherData[[#This Row],[Station Number]], 'Station Numbers'!A:B,2,FALSE)</f>
        <v xml:space="preserve">Melbourne (Olympic Park) </v>
      </c>
      <c r="C692" s="1">
        <v>2020</v>
      </c>
      <c r="D692" s="1">
        <v>11</v>
      </c>
      <c r="E692" s="1">
        <v>20</v>
      </c>
      <c r="F692" s="2">
        <f>DATE(WeatherData[[#This Row],[Year]],WeatherData[[#This Row],[Month]],WeatherData[[#This Row],[Day]])</f>
        <v>44155</v>
      </c>
      <c r="G692" s="2" t="str">
        <f>TEXT(WeatherData[[#This Row],[Date]], "mmmm")</f>
        <v>November</v>
      </c>
      <c r="H692" s="16">
        <v>0</v>
      </c>
      <c r="I692" s="16">
        <v>20.2</v>
      </c>
      <c r="J692" s="16">
        <v>15.6</v>
      </c>
      <c r="K692" s="6">
        <f t="shared" si="20"/>
        <v>4.5999999999999996</v>
      </c>
      <c r="L692" s="4" t="str">
        <f t="shared" si="21"/>
        <v>Normal</v>
      </c>
    </row>
    <row r="693" spans="1:12" ht="18" customHeight="1" x14ac:dyDescent="0.3">
      <c r="A693" s="1">
        <v>86338</v>
      </c>
      <c r="B693" s="1" t="str">
        <f>VLOOKUP( WeatherData[[#This Row],[Station Number]], 'Station Numbers'!A:B,2,FALSE)</f>
        <v xml:space="preserve">Melbourne (Olympic Park) </v>
      </c>
      <c r="C693" s="1">
        <v>2020</v>
      </c>
      <c r="D693" s="1">
        <v>11</v>
      </c>
      <c r="E693" s="1">
        <v>21</v>
      </c>
      <c r="F693" s="2">
        <f>DATE(WeatherData[[#This Row],[Year]],WeatherData[[#This Row],[Month]],WeatherData[[#This Row],[Day]])</f>
        <v>44156</v>
      </c>
      <c r="G693" s="2" t="str">
        <f>TEXT(WeatherData[[#This Row],[Date]], "mmmm")</f>
        <v>November</v>
      </c>
      <c r="H693" s="16">
        <v>0</v>
      </c>
      <c r="I693" s="16">
        <v>25.7</v>
      </c>
      <c r="J693" s="16">
        <v>13.3</v>
      </c>
      <c r="K693" s="6">
        <f t="shared" si="20"/>
        <v>12.399999999999999</v>
      </c>
      <c r="L693" s="4" t="str">
        <f t="shared" si="21"/>
        <v>Normal</v>
      </c>
    </row>
    <row r="694" spans="1:12" ht="18" customHeight="1" x14ac:dyDescent="0.3">
      <c r="A694" s="1">
        <v>86338</v>
      </c>
      <c r="B694" s="1" t="str">
        <f>VLOOKUP( WeatherData[[#This Row],[Station Number]], 'Station Numbers'!A:B,2,FALSE)</f>
        <v xml:space="preserve">Melbourne (Olympic Park) </v>
      </c>
      <c r="C694" s="1">
        <v>2020</v>
      </c>
      <c r="D694" s="1">
        <v>11</v>
      </c>
      <c r="E694" s="1">
        <v>22</v>
      </c>
      <c r="F694" s="2">
        <f>DATE(WeatherData[[#This Row],[Year]],WeatherData[[#This Row],[Month]],WeatherData[[#This Row],[Day]])</f>
        <v>44157</v>
      </c>
      <c r="G694" s="2" t="str">
        <f>TEXT(WeatherData[[#This Row],[Date]], "mmmm")</f>
        <v>November</v>
      </c>
      <c r="H694" s="16">
        <v>0</v>
      </c>
      <c r="I694" s="16">
        <v>28.2</v>
      </c>
      <c r="J694" s="16">
        <v>16.100000000000001</v>
      </c>
      <c r="K694" s="6">
        <f t="shared" si="20"/>
        <v>12.099999999999998</v>
      </c>
      <c r="L694" s="4" t="str">
        <f t="shared" si="21"/>
        <v>Normal</v>
      </c>
    </row>
    <row r="695" spans="1:12" ht="18" customHeight="1" x14ac:dyDescent="0.3">
      <c r="A695" s="1">
        <v>86338</v>
      </c>
      <c r="B695" s="1" t="str">
        <f>VLOOKUP( WeatherData[[#This Row],[Station Number]], 'Station Numbers'!A:B,2,FALSE)</f>
        <v xml:space="preserve">Melbourne (Olympic Park) </v>
      </c>
      <c r="C695" s="1">
        <v>2020</v>
      </c>
      <c r="D695" s="1">
        <v>11</v>
      </c>
      <c r="E695" s="1">
        <v>23</v>
      </c>
      <c r="F695" s="2">
        <f>DATE(WeatherData[[#This Row],[Year]],WeatherData[[#This Row],[Month]],WeatherData[[#This Row],[Day]])</f>
        <v>44158</v>
      </c>
      <c r="G695" s="2" t="str">
        <f>TEXT(WeatherData[[#This Row],[Date]], "mmmm")</f>
        <v>November</v>
      </c>
      <c r="H695" s="16">
        <v>30.2</v>
      </c>
      <c r="I695" s="16">
        <v>18.8</v>
      </c>
      <c r="J695" s="16">
        <v>16.600000000000001</v>
      </c>
      <c r="K695" s="6">
        <f t="shared" si="20"/>
        <v>2.1999999999999993</v>
      </c>
      <c r="L695" s="4" t="str">
        <f t="shared" si="21"/>
        <v>Heavy Rain</v>
      </c>
    </row>
    <row r="696" spans="1:12" ht="18" customHeight="1" x14ac:dyDescent="0.3">
      <c r="A696" s="1">
        <v>86338</v>
      </c>
      <c r="B696" s="1" t="str">
        <f>VLOOKUP( WeatherData[[#This Row],[Station Number]], 'Station Numbers'!A:B,2,FALSE)</f>
        <v xml:space="preserve">Melbourne (Olympic Park) </v>
      </c>
      <c r="C696" s="1">
        <v>2020</v>
      </c>
      <c r="D696" s="1">
        <v>11</v>
      </c>
      <c r="E696" s="1">
        <v>24</v>
      </c>
      <c r="F696" s="2">
        <f>DATE(WeatherData[[#This Row],[Year]],WeatherData[[#This Row],[Month]],WeatherData[[#This Row],[Day]])</f>
        <v>44159</v>
      </c>
      <c r="G696" s="2" t="str">
        <f>TEXT(WeatherData[[#This Row],[Date]], "mmmm")</f>
        <v>November</v>
      </c>
      <c r="H696" s="16">
        <v>6</v>
      </c>
      <c r="I696" s="16">
        <v>20.3</v>
      </c>
      <c r="J696" s="16">
        <v>13.5</v>
      </c>
      <c r="K696" s="6">
        <f t="shared" si="20"/>
        <v>6.8000000000000007</v>
      </c>
      <c r="L696" s="4" t="str">
        <f t="shared" si="21"/>
        <v>Normal</v>
      </c>
    </row>
    <row r="697" spans="1:12" ht="18" customHeight="1" x14ac:dyDescent="0.3">
      <c r="A697" s="1">
        <v>86338</v>
      </c>
      <c r="B697" s="1" t="str">
        <f>VLOOKUP( WeatherData[[#This Row],[Station Number]], 'Station Numbers'!A:B,2,FALSE)</f>
        <v xml:space="preserve">Melbourne (Olympic Park) </v>
      </c>
      <c r="C697" s="1">
        <v>2020</v>
      </c>
      <c r="D697" s="1">
        <v>11</v>
      </c>
      <c r="E697" s="1">
        <v>25</v>
      </c>
      <c r="F697" s="2">
        <f>DATE(WeatherData[[#This Row],[Year]],WeatherData[[#This Row],[Month]],WeatherData[[#This Row],[Day]])</f>
        <v>44160</v>
      </c>
      <c r="G697" s="2" t="str">
        <f>TEXT(WeatherData[[#This Row],[Date]], "mmmm")</f>
        <v>November</v>
      </c>
      <c r="H697" s="16">
        <v>0</v>
      </c>
      <c r="I697" s="16">
        <v>30.5</v>
      </c>
      <c r="J697" s="16">
        <v>13.2</v>
      </c>
      <c r="K697" s="6">
        <f t="shared" si="20"/>
        <v>17.3</v>
      </c>
      <c r="L697" s="4" t="str">
        <f t="shared" si="21"/>
        <v>Normal</v>
      </c>
    </row>
    <row r="698" spans="1:12" ht="18" customHeight="1" x14ac:dyDescent="0.3">
      <c r="A698" s="1">
        <v>86338</v>
      </c>
      <c r="B698" s="1" t="str">
        <f>VLOOKUP( WeatherData[[#This Row],[Station Number]], 'Station Numbers'!A:B,2,FALSE)</f>
        <v xml:space="preserve">Melbourne (Olympic Park) </v>
      </c>
      <c r="C698" s="1">
        <v>2020</v>
      </c>
      <c r="D698" s="1">
        <v>11</v>
      </c>
      <c r="E698" s="1">
        <v>26</v>
      </c>
      <c r="F698" s="2">
        <f>DATE(WeatherData[[#This Row],[Year]],WeatherData[[#This Row],[Month]],WeatherData[[#This Row],[Day]])</f>
        <v>44161</v>
      </c>
      <c r="G698" s="2" t="str">
        <f>TEXT(WeatherData[[#This Row],[Date]], "mmmm")</f>
        <v>November</v>
      </c>
      <c r="H698" s="16">
        <v>0</v>
      </c>
      <c r="I698" s="16">
        <v>19.399999999999999</v>
      </c>
      <c r="J698" s="16">
        <v>15.8</v>
      </c>
      <c r="K698" s="6">
        <f t="shared" si="20"/>
        <v>3.5999999999999979</v>
      </c>
      <c r="L698" s="4" t="str">
        <f t="shared" si="21"/>
        <v>Normal</v>
      </c>
    </row>
    <row r="699" spans="1:12" ht="18" customHeight="1" x14ac:dyDescent="0.3">
      <c r="A699" s="1">
        <v>86338</v>
      </c>
      <c r="B699" s="1" t="str">
        <f>VLOOKUP( WeatherData[[#This Row],[Station Number]], 'Station Numbers'!A:B,2,FALSE)</f>
        <v xml:space="preserve">Melbourne (Olympic Park) </v>
      </c>
      <c r="C699" s="1">
        <v>2020</v>
      </c>
      <c r="D699" s="1">
        <v>11</v>
      </c>
      <c r="E699" s="1">
        <v>27</v>
      </c>
      <c r="F699" s="2">
        <f>DATE(WeatherData[[#This Row],[Year]],WeatherData[[#This Row],[Month]],WeatherData[[#This Row],[Day]])</f>
        <v>44162</v>
      </c>
      <c r="G699" s="2" t="str">
        <f>TEXT(WeatherData[[#This Row],[Date]], "mmmm")</f>
        <v>November</v>
      </c>
      <c r="H699" s="16">
        <v>0</v>
      </c>
      <c r="I699" s="16">
        <v>36</v>
      </c>
      <c r="J699" s="16">
        <v>10.199999999999999</v>
      </c>
      <c r="K699" s="6">
        <f t="shared" si="20"/>
        <v>25.8</v>
      </c>
      <c r="L699" s="4" t="str">
        <f t="shared" si="21"/>
        <v>Heatwave</v>
      </c>
    </row>
    <row r="700" spans="1:12" ht="18" customHeight="1" x14ac:dyDescent="0.3">
      <c r="A700" s="1">
        <v>86338</v>
      </c>
      <c r="B700" s="1" t="str">
        <f>VLOOKUP( WeatherData[[#This Row],[Station Number]], 'Station Numbers'!A:B,2,FALSE)</f>
        <v xml:space="preserve">Melbourne (Olympic Park) </v>
      </c>
      <c r="C700" s="1">
        <v>2020</v>
      </c>
      <c r="D700" s="1">
        <v>11</v>
      </c>
      <c r="E700" s="1">
        <v>28</v>
      </c>
      <c r="F700" s="2">
        <f>DATE(WeatherData[[#This Row],[Year]],WeatherData[[#This Row],[Month]],WeatherData[[#This Row],[Day]])</f>
        <v>44163</v>
      </c>
      <c r="G700" s="2" t="str">
        <f>TEXT(WeatherData[[#This Row],[Date]], "mmmm")</f>
        <v>November</v>
      </c>
      <c r="H700" s="16">
        <v>0</v>
      </c>
      <c r="I700" s="16">
        <v>22.9</v>
      </c>
      <c r="J700" s="16">
        <v>16</v>
      </c>
      <c r="K700" s="6">
        <f t="shared" si="20"/>
        <v>6.8999999999999986</v>
      </c>
      <c r="L700" s="4" t="str">
        <f t="shared" si="21"/>
        <v>Normal</v>
      </c>
    </row>
    <row r="701" spans="1:12" ht="18" customHeight="1" x14ac:dyDescent="0.3">
      <c r="A701" s="1">
        <v>86338</v>
      </c>
      <c r="B701" s="1" t="str">
        <f>VLOOKUP( WeatherData[[#This Row],[Station Number]], 'Station Numbers'!A:B,2,FALSE)</f>
        <v xml:space="preserve">Melbourne (Olympic Park) </v>
      </c>
      <c r="C701" s="1">
        <v>2020</v>
      </c>
      <c r="D701" s="1">
        <v>11</v>
      </c>
      <c r="E701" s="1">
        <v>29</v>
      </c>
      <c r="F701" s="2">
        <f>DATE(WeatherData[[#This Row],[Year]],WeatherData[[#This Row],[Month]],WeatherData[[#This Row],[Day]])</f>
        <v>44164</v>
      </c>
      <c r="G701" s="2" t="str">
        <f>TEXT(WeatherData[[#This Row],[Date]], "mmmm")</f>
        <v>November</v>
      </c>
      <c r="H701" s="16">
        <v>2.8</v>
      </c>
      <c r="I701" s="16">
        <v>18.600000000000001</v>
      </c>
      <c r="J701" s="16">
        <v>14.4</v>
      </c>
      <c r="K701" s="6">
        <f t="shared" si="20"/>
        <v>4.2000000000000011</v>
      </c>
      <c r="L701" s="4" t="str">
        <f t="shared" si="21"/>
        <v>Normal</v>
      </c>
    </row>
    <row r="702" spans="1:12" ht="18" customHeight="1" x14ac:dyDescent="0.3">
      <c r="A702" s="1">
        <v>86338</v>
      </c>
      <c r="B702" s="1" t="str">
        <f>VLOOKUP( WeatherData[[#This Row],[Station Number]], 'Station Numbers'!A:B,2,FALSE)</f>
        <v xml:space="preserve">Melbourne (Olympic Park) </v>
      </c>
      <c r="C702" s="1">
        <v>2020</v>
      </c>
      <c r="D702" s="1">
        <v>11</v>
      </c>
      <c r="E702" s="1">
        <v>30</v>
      </c>
      <c r="F702" s="2">
        <f>DATE(WeatherData[[#This Row],[Year]],WeatherData[[#This Row],[Month]],WeatherData[[#This Row],[Day]])</f>
        <v>44165</v>
      </c>
      <c r="G702" s="2" t="str">
        <f>TEXT(WeatherData[[#This Row],[Date]], "mmmm")</f>
        <v>November</v>
      </c>
      <c r="H702" s="16">
        <v>1</v>
      </c>
      <c r="I702" s="16">
        <v>27.2</v>
      </c>
      <c r="J702" s="16">
        <v>12.1</v>
      </c>
      <c r="K702" s="6">
        <f t="shared" si="20"/>
        <v>15.1</v>
      </c>
      <c r="L702" s="4" t="str">
        <f t="shared" si="21"/>
        <v>Normal</v>
      </c>
    </row>
    <row r="703" spans="1:12" ht="18" customHeight="1" x14ac:dyDescent="0.3">
      <c r="A703" s="1">
        <v>86338</v>
      </c>
      <c r="B703" s="1" t="str">
        <f>VLOOKUP( WeatherData[[#This Row],[Station Number]], 'Station Numbers'!A:B,2,FALSE)</f>
        <v xml:space="preserve">Melbourne (Olympic Park) </v>
      </c>
      <c r="C703" s="1">
        <v>2020</v>
      </c>
      <c r="D703" s="1">
        <v>12</v>
      </c>
      <c r="E703" s="1">
        <v>1</v>
      </c>
      <c r="F703" s="2">
        <f>DATE(WeatherData[[#This Row],[Year]],WeatherData[[#This Row],[Month]],WeatherData[[#This Row],[Day]])</f>
        <v>44166</v>
      </c>
      <c r="G703" s="2" t="str">
        <f>TEXT(WeatherData[[#This Row],[Date]], "mmmm")</f>
        <v>December</v>
      </c>
      <c r="H703" s="16">
        <v>0</v>
      </c>
      <c r="I703" s="16">
        <v>26.2</v>
      </c>
      <c r="J703" s="16">
        <v>16.8</v>
      </c>
      <c r="K703" s="6">
        <f t="shared" si="20"/>
        <v>9.3999999999999986</v>
      </c>
      <c r="L703" s="4" t="str">
        <f t="shared" si="21"/>
        <v>Normal</v>
      </c>
    </row>
    <row r="704" spans="1:12" ht="18" customHeight="1" x14ac:dyDescent="0.3">
      <c r="A704" s="1">
        <v>86338</v>
      </c>
      <c r="B704" s="1" t="str">
        <f>VLOOKUP( WeatherData[[#This Row],[Station Number]], 'Station Numbers'!A:B,2,FALSE)</f>
        <v xml:space="preserve">Melbourne (Olympic Park) </v>
      </c>
      <c r="C704" s="1">
        <v>2020</v>
      </c>
      <c r="D704" s="1">
        <v>12</v>
      </c>
      <c r="E704" s="1">
        <v>2</v>
      </c>
      <c r="F704" s="2">
        <f>DATE(WeatherData[[#This Row],[Year]],WeatherData[[#This Row],[Month]],WeatherData[[#This Row],[Day]])</f>
        <v>44167</v>
      </c>
      <c r="G704" s="2" t="str">
        <f>TEXT(WeatherData[[#This Row],[Date]], "mmmm")</f>
        <v>December</v>
      </c>
      <c r="H704" s="16">
        <v>0.2</v>
      </c>
      <c r="I704" s="16">
        <v>18.600000000000001</v>
      </c>
      <c r="J704" s="16">
        <v>11.9</v>
      </c>
      <c r="K704" s="6">
        <f t="shared" si="20"/>
        <v>6.7000000000000011</v>
      </c>
      <c r="L704" s="4" t="str">
        <f t="shared" si="21"/>
        <v>Normal</v>
      </c>
    </row>
    <row r="705" spans="1:12" ht="18" customHeight="1" x14ac:dyDescent="0.3">
      <c r="A705" s="1">
        <v>86338</v>
      </c>
      <c r="B705" s="1" t="str">
        <f>VLOOKUP( WeatherData[[#This Row],[Station Number]], 'Station Numbers'!A:B,2,FALSE)</f>
        <v xml:space="preserve">Melbourne (Olympic Park) </v>
      </c>
      <c r="C705" s="1">
        <v>2020</v>
      </c>
      <c r="D705" s="1">
        <v>12</v>
      </c>
      <c r="E705" s="1">
        <v>3</v>
      </c>
      <c r="F705" s="2">
        <f>DATE(WeatherData[[#This Row],[Year]],WeatherData[[#This Row],[Month]],WeatherData[[#This Row],[Day]])</f>
        <v>44168</v>
      </c>
      <c r="G705" s="2" t="str">
        <f>TEXT(WeatherData[[#This Row],[Date]], "mmmm")</f>
        <v>December</v>
      </c>
      <c r="H705" s="16">
        <v>0</v>
      </c>
      <c r="I705" s="16">
        <v>23.7</v>
      </c>
      <c r="J705" s="16">
        <v>10.6</v>
      </c>
      <c r="K705" s="6">
        <f t="shared" si="20"/>
        <v>13.1</v>
      </c>
      <c r="L705" s="4" t="str">
        <f t="shared" si="21"/>
        <v>Normal</v>
      </c>
    </row>
    <row r="706" spans="1:12" ht="18" customHeight="1" x14ac:dyDescent="0.3">
      <c r="A706" s="1">
        <v>86338</v>
      </c>
      <c r="B706" s="1" t="str">
        <f>VLOOKUP( WeatherData[[#This Row],[Station Number]], 'Station Numbers'!A:B,2,FALSE)</f>
        <v xml:space="preserve">Melbourne (Olympic Park) </v>
      </c>
      <c r="C706" s="1">
        <v>2020</v>
      </c>
      <c r="D706" s="1">
        <v>12</v>
      </c>
      <c r="E706" s="1">
        <v>4</v>
      </c>
      <c r="F706" s="2">
        <f>DATE(WeatherData[[#This Row],[Year]],WeatherData[[#This Row],[Month]],WeatherData[[#This Row],[Day]])</f>
        <v>44169</v>
      </c>
      <c r="G706" s="2" t="str">
        <f>TEXT(WeatherData[[#This Row],[Date]], "mmmm")</f>
        <v>December</v>
      </c>
      <c r="H706" s="16">
        <v>0</v>
      </c>
      <c r="I706" s="16">
        <v>22.9</v>
      </c>
      <c r="J706" s="16">
        <v>11.4</v>
      </c>
      <c r="K706" s="6">
        <f t="shared" ref="K706:K733" si="22">I706-J706</f>
        <v>11.499999999999998</v>
      </c>
      <c r="L706" s="4" t="str">
        <f t="shared" ref="L706:L733" si="23">IF(AND(I706&gt;35, H706&gt;20), "Heatwave + Rain",
   IF(I706&gt;35, "Heatwave",
   IF(H706&gt;20, "Heavy Rain",
   IF(I706&lt;10, "Cold",
   "Normal"))))</f>
        <v>Normal</v>
      </c>
    </row>
    <row r="707" spans="1:12" ht="18" customHeight="1" x14ac:dyDescent="0.3">
      <c r="A707" s="1">
        <v>86338</v>
      </c>
      <c r="B707" s="1" t="str">
        <f>VLOOKUP( WeatherData[[#This Row],[Station Number]], 'Station Numbers'!A:B,2,FALSE)</f>
        <v xml:space="preserve">Melbourne (Olympic Park) </v>
      </c>
      <c r="C707" s="1">
        <v>2020</v>
      </c>
      <c r="D707" s="1">
        <v>12</v>
      </c>
      <c r="E707" s="1">
        <v>5</v>
      </c>
      <c r="F707" s="2">
        <f>DATE(WeatherData[[#This Row],[Year]],WeatherData[[#This Row],[Month]],WeatherData[[#This Row],[Day]])</f>
        <v>44170</v>
      </c>
      <c r="G707" s="2" t="str">
        <f>TEXT(WeatherData[[#This Row],[Date]], "mmmm")</f>
        <v>December</v>
      </c>
      <c r="H707" s="16">
        <v>0</v>
      </c>
      <c r="I707" s="16">
        <v>28.4</v>
      </c>
      <c r="J707" s="16">
        <v>13.9</v>
      </c>
      <c r="K707" s="6">
        <f t="shared" si="22"/>
        <v>14.499999999999998</v>
      </c>
      <c r="L707" s="4" t="str">
        <f t="shared" si="23"/>
        <v>Normal</v>
      </c>
    </row>
    <row r="708" spans="1:12" ht="18" customHeight="1" x14ac:dyDescent="0.3">
      <c r="A708" s="1">
        <v>86338</v>
      </c>
      <c r="B708" s="1" t="str">
        <f>VLOOKUP( WeatherData[[#This Row],[Station Number]], 'Station Numbers'!A:B,2,FALSE)</f>
        <v xml:space="preserve">Melbourne (Olympic Park) </v>
      </c>
      <c r="C708" s="1">
        <v>2020</v>
      </c>
      <c r="D708" s="1">
        <v>12</v>
      </c>
      <c r="E708" s="1">
        <v>6</v>
      </c>
      <c r="F708" s="2">
        <f>DATE(WeatherData[[#This Row],[Year]],WeatherData[[#This Row],[Month]],WeatherData[[#This Row],[Day]])</f>
        <v>44171</v>
      </c>
      <c r="G708" s="2" t="str">
        <f>TEXT(WeatherData[[#This Row],[Date]], "mmmm")</f>
        <v>December</v>
      </c>
      <c r="H708" s="16">
        <v>1.4</v>
      </c>
      <c r="I708" s="16">
        <v>20.5</v>
      </c>
      <c r="J708" s="16">
        <v>12.9</v>
      </c>
      <c r="K708" s="6">
        <f t="shared" si="22"/>
        <v>7.6</v>
      </c>
      <c r="L708" s="4" t="str">
        <f t="shared" si="23"/>
        <v>Normal</v>
      </c>
    </row>
    <row r="709" spans="1:12" ht="18" customHeight="1" x14ac:dyDescent="0.3">
      <c r="A709" s="1">
        <v>86338</v>
      </c>
      <c r="B709" s="1" t="str">
        <f>VLOOKUP( WeatherData[[#This Row],[Station Number]], 'Station Numbers'!A:B,2,FALSE)</f>
        <v xml:space="preserve">Melbourne (Olympic Park) </v>
      </c>
      <c r="C709" s="1">
        <v>2020</v>
      </c>
      <c r="D709" s="1">
        <v>12</v>
      </c>
      <c r="E709" s="1">
        <v>7</v>
      </c>
      <c r="F709" s="2">
        <f>DATE(WeatherData[[#This Row],[Year]],WeatherData[[#This Row],[Month]],WeatherData[[#This Row],[Day]])</f>
        <v>44172</v>
      </c>
      <c r="G709" s="2" t="str">
        <f>TEXT(WeatherData[[#This Row],[Date]], "mmmm")</f>
        <v>December</v>
      </c>
      <c r="H709" s="16">
        <v>2.6</v>
      </c>
      <c r="I709" s="16">
        <v>17.3</v>
      </c>
      <c r="J709" s="16">
        <v>11.3</v>
      </c>
      <c r="K709" s="6">
        <f t="shared" si="22"/>
        <v>6</v>
      </c>
      <c r="L709" s="4" t="str">
        <f t="shared" si="23"/>
        <v>Normal</v>
      </c>
    </row>
    <row r="710" spans="1:12" ht="18" customHeight="1" x14ac:dyDescent="0.3">
      <c r="A710" s="1">
        <v>86338</v>
      </c>
      <c r="B710" s="1" t="str">
        <f>VLOOKUP( WeatherData[[#This Row],[Station Number]], 'Station Numbers'!A:B,2,FALSE)</f>
        <v xml:space="preserve">Melbourne (Olympic Park) </v>
      </c>
      <c r="C710" s="1">
        <v>2020</v>
      </c>
      <c r="D710" s="1">
        <v>12</v>
      </c>
      <c r="E710" s="1">
        <v>8</v>
      </c>
      <c r="F710" s="2">
        <f>DATE(WeatherData[[#This Row],[Year]],WeatherData[[#This Row],[Month]],WeatherData[[#This Row],[Day]])</f>
        <v>44173</v>
      </c>
      <c r="G710" s="2" t="str">
        <f>TEXT(WeatherData[[#This Row],[Date]], "mmmm")</f>
        <v>December</v>
      </c>
      <c r="H710" s="16">
        <v>6</v>
      </c>
      <c r="I710" s="16">
        <v>17.100000000000001</v>
      </c>
      <c r="J710" s="16">
        <v>10.6</v>
      </c>
      <c r="K710" s="6">
        <f t="shared" si="22"/>
        <v>6.5000000000000018</v>
      </c>
      <c r="L710" s="4" t="str">
        <f t="shared" si="23"/>
        <v>Normal</v>
      </c>
    </row>
    <row r="711" spans="1:12" ht="18" customHeight="1" x14ac:dyDescent="0.3">
      <c r="A711" s="1">
        <v>86338</v>
      </c>
      <c r="B711" s="1" t="str">
        <f>VLOOKUP( WeatherData[[#This Row],[Station Number]], 'Station Numbers'!A:B,2,FALSE)</f>
        <v xml:space="preserve">Melbourne (Olympic Park) </v>
      </c>
      <c r="C711" s="1">
        <v>2020</v>
      </c>
      <c r="D711" s="1">
        <v>12</v>
      </c>
      <c r="E711" s="1">
        <v>9</v>
      </c>
      <c r="F711" s="2">
        <f>DATE(WeatherData[[#This Row],[Year]],WeatherData[[#This Row],[Month]],WeatherData[[#This Row],[Day]])</f>
        <v>44174</v>
      </c>
      <c r="G711" s="2" t="str">
        <f>TEXT(WeatherData[[#This Row],[Date]], "mmmm")</f>
        <v>December</v>
      </c>
      <c r="H711" s="16">
        <v>0</v>
      </c>
      <c r="I711" s="16">
        <v>21.5</v>
      </c>
      <c r="J711" s="16">
        <v>11.7</v>
      </c>
      <c r="K711" s="6">
        <f t="shared" si="22"/>
        <v>9.8000000000000007</v>
      </c>
      <c r="L711" s="4" t="str">
        <f t="shared" si="23"/>
        <v>Normal</v>
      </c>
    </row>
    <row r="712" spans="1:12" ht="18" customHeight="1" x14ac:dyDescent="0.3">
      <c r="A712" s="1">
        <v>86338</v>
      </c>
      <c r="B712" s="1" t="str">
        <f>VLOOKUP( WeatherData[[#This Row],[Station Number]], 'Station Numbers'!A:B,2,FALSE)</f>
        <v xml:space="preserve">Melbourne (Olympic Park) </v>
      </c>
      <c r="C712" s="1">
        <v>2020</v>
      </c>
      <c r="D712" s="1">
        <v>12</v>
      </c>
      <c r="E712" s="1">
        <v>10</v>
      </c>
      <c r="F712" s="2">
        <f>DATE(WeatherData[[#This Row],[Year]],WeatherData[[#This Row],[Month]],WeatherData[[#This Row],[Day]])</f>
        <v>44175</v>
      </c>
      <c r="G712" s="2" t="str">
        <f>TEXT(WeatherData[[#This Row],[Date]], "mmmm")</f>
        <v>December</v>
      </c>
      <c r="H712" s="16">
        <v>0.6</v>
      </c>
      <c r="I712" s="16">
        <v>17.7</v>
      </c>
      <c r="J712" s="16">
        <v>13.1</v>
      </c>
      <c r="K712" s="6">
        <f t="shared" si="22"/>
        <v>4.5999999999999996</v>
      </c>
      <c r="L712" s="4" t="str">
        <f t="shared" si="23"/>
        <v>Normal</v>
      </c>
    </row>
    <row r="713" spans="1:12" ht="18" customHeight="1" x14ac:dyDescent="0.3">
      <c r="A713" s="1">
        <v>86338</v>
      </c>
      <c r="B713" s="1" t="str">
        <f>VLOOKUP( WeatherData[[#This Row],[Station Number]], 'Station Numbers'!A:B,2,FALSE)</f>
        <v xml:space="preserve">Melbourne (Olympic Park) </v>
      </c>
      <c r="C713" s="1">
        <v>2020</v>
      </c>
      <c r="D713" s="1">
        <v>12</v>
      </c>
      <c r="E713" s="1">
        <v>11</v>
      </c>
      <c r="F713" s="2">
        <f>DATE(WeatherData[[#This Row],[Year]],WeatherData[[#This Row],[Month]],WeatherData[[#This Row],[Day]])</f>
        <v>44176</v>
      </c>
      <c r="G713" s="2" t="str">
        <f>TEXT(WeatherData[[#This Row],[Date]], "mmmm")</f>
        <v>December</v>
      </c>
      <c r="H713" s="16">
        <v>0</v>
      </c>
      <c r="I713" s="16">
        <v>21.1</v>
      </c>
      <c r="J713" s="16">
        <v>9.6</v>
      </c>
      <c r="K713" s="6">
        <f t="shared" si="22"/>
        <v>11.500000000000002</v>
      </c>
      <c r="L713" s="4" t="str">
        <f t="shared" si="23"/>
        <v>Normal</v>
      </c>
    </row>
    <row r="714" spans="1:12" ht="18" customHeight="1" x14ac:dyDescent="0.3">
      <c r="A714" s="1">
        <v>86338</v>
      </c>
      <c r="B714" s="1" t="str">
        <f>VLOOKUP( WeatherData[[#This Row],[Station Number]], 'Station Numbers'!A:B,2,FALSE)</f>
        <v xml:space="preserve">Melbourne (Olympic Park) </v>
      </c>
      <c r="C714" s="1">
        <v>2020</v>
      </c>
      <c r="D714" s="1">
        <v>12</v>
      </c>
      <c r="E714" s="1">
        <v>12</v>
      </c>
      <c r="F714" s="2">
        <f>DATE(WeatherData[[#This Row],[Year]],WeatherData[[#This Row],[Month]],WeatherData[[#This Row],[Day]])</f>
        <v>44177</v>
      </c>
      <c r="G714" s="2" t="str">
        <f>TEXT(WeatherData[[#This Row],[Date]], "mmmm")</f>
        <v>December</v>
      </c>
      <c r="H714" s="16">
        <v>0</v>
      </c>
      <c r="I714" s="16">
        <v>28.1</v>
      </c>
      <c r="J714" s="16">
        <v>11.9</v>
      </c>
      <c r="K714" s="6">
        <f t="shared" si="22"/>
        <v>16.200000000000003</v>
      </c>
      <c r="L714" s="4" t="str">
        <f t="shared" si="23"/>
        <v>Normal</v>
      </c>
    </row>
    <row r="715" spans="1:12" ht="18" customHeight="1" x14ac:dyDescent="0.3">
      <c r="A715" s="1">
        <v>86338</v>
      </c>
      <c r="B715" s="1" t="str">
        <f>VLOOKUP( WeatherData[[#This Row],[Station Number]], 'Station Numbers'!A:B,2,FALSE)</f>
        <v xml:space="preserve">Melbourne (Olympic Park) </v>
      </c>
      <c r="C715" s="1">
        <v>2020</v>
      </c>
      <c r="D715" s="1">
        <v>12</v>
      </c>
      <c r="E715" s="1">
        <v>13</v>
      </c>
      <c r="F715" s="2">
        <f>DATE(WeatherData[[#This Row],[Year]],WeatherData[[#This Row],[Month]],WeatherData[[#This Row],[Day]])</f>
        <v>44178</v>
      </c>
      <c r="G715" s="2" t="str">
        <f>TEXT(WeatherData[[#This Row],[Date]], "mmmm")</f>
        <v>December</v>
      </c>
      <c r="H715" s="16">
        <v>0</v>
      </c>
      <c r="I715" s="16">
        <v>30.2</v>
      </c>
      <c r="J715" s="16">
        <v>16</v>
      </c>
      <c r="K715" s="6">
        <f t="shared" si="22"/>
        <v>14.2</v>
      </c>
      <c r="L715" s="4" t="str">
        <f t="shared" si="23"/>
        <v>Normal</v>
      </c>
    </row>
    <row r="716" spans="1:12" ht="18" customHeight="1" x14ac:dyDescent="0.3">
      <c r="A716" s="1">
        <v>86338</v>
      </c>
      <c r="B716" s="1" t="str">
        <f>VLOOKUP( WeatherData[[#This Row],[Station Number]], 'Station Numbers'!A:B,2,FALSE)</f>
        <v xml:space="preserve">Melbourne (Olympic Park) </v>
      </c>
      <c r="C716" s="1">
        <v>2020</v>
      </c>
      <c r="D716" s="1">
        <v>12</v>
      </c>
      <c r="E716" s="1">
        <v>14</v>
      </c>
      <c r="F716" s="2">
        <f>DATE(WeatherData[[#This Row],[Year]],WeatherData[[#This Row],[Month]],WeatherData[[#This Row],[Day]])</f>
        <v>44179</v>
      </c>
      <c r="G716" s="2" t="str">
        <f>TEXT(WeatherData[[#This Row],[Date]], "mmmm")</f>
        <v>December</v>
      </c>
      <c r="H716" s="16">
        <v>0</v>
      </c>
      <c r="I716" s="16">
        <v>33.700000000000003</v>
      </c>
      <c r="J716" s="16">
        <v>17.7</v>
      </c>
      <c r="K716" s="6">
        <f t="shared" si="22"/>
        <v>16.000000000000004</v>
      </c>
      <c r="L716" s="4" t="str">
        <f t="shared" si="23"/>
        <v>Normal</v>
      </c>
    </row>
    <row r="717" spans="1:12" ht="18" customHeight="1" x14ac:dyDescent="0.3">
      <c r="A717" s="1">
        <v>86338</v>
      </c>
      <c r="B717" s="1" t="str">
        <f>VLOOKUP( WeatherData[[#This Row],[Station Number]], 'Station Numbers'!A:B,2,FALSE)</f>
        <v xml:space="preserve">Melbourne (Olympic Park) </v>
      </c>
      <c r="C717" s="1">
        <v>2020</v>
      </c>
      <c r="D717" s="1">
        <v>12</v>
      </c>
      <c r="E717" s="1">
        <v>15</v>
      </c>
      <c r="F717" s="2">
        <f>DATE(WeatherData[[#This Row],[Year]],WeatherData[[#This Row],[Month]],WeatherData[[#This Row],[Day]])</f>
        <v>44180</v>
      </c>
      <c r="G717" s="2" t="str">
        <f>TEXT(WeatherData[[#This Row],[Date]], "mmmm")</f>
        <v>December</v>
      </c>
      <c r="H717" s="16">
        <v>0</v>
      </c>
      <c r="I717" s="16">
        <v>33.5</v>
      </c>
      <c r="J717" s="16">
        <v>20.399999999999999</v>
      </c>
      <c r="K717" s="6">
        <f t="shared" si="22"/>
        <v>13.100000000000001</v>
      </c>
      <c r="L717" s="4" t="str">
        <f t="shared" si="23"/>
        <v>Normal</v>
      </c>
    </row>
    <row r="718" spans="1:12" ht="18" customHeight="1" x14ac:dyDescent="0.3">
      <c r="A718" s="1">
        <v>86338</v>
      </c>
      <c r="B718" s="1" t="str">
        <f>VLOOKUP( WeatherData[[#This Row],[Station Number]], 'Station Numbers'!A:B,2,FALSE)</f>
        <v xml:space="preserve">Melbourne (Olympic Park) </v>
      </c>
      <c r="C718" s="1">
        <v>2020</v>
      </c>
      <c r="D718" s="1">
        <v>12</v>
      </c>
      <c r="E718" s="1">
        <v>16</v>
      </c>
      <c r="F718" s="2">
        <f>DATE(WeatherData[[#This Row],[Year]],WeatherData[[#This Row],[Month]],WeatherData[[#This Row],[Day]])</f>
        <v>44181</v>
      </c>
      <c r="G718" s="2" t="str">
        <f>TEXT(WeatherData[[#This Row],[Date]], "mmmm")</f>
        <v>December</v>
      </c>
      <c r="H718" s="16">
        <v>0</v>
      </c>
      <c r="I718" s="16">
        <v>24.6</v>
      </c>
      <c r="J718" s="16">
        <v>15.8</v>
      </c>
      <c r="K718" s="6">
        <f t="shared" si="22"/>
        <v>8.8000000000000007</v>
      </c>
      <c r="L718" s="4" t="str">
        <f t="shared" si="23"/>
        <v>Normal</v>
      </c>
    </row>
    <row r="719" spans="1:12" ht="18" customHeight="1" x14ac:dyDescent="0.3">
      <c r="A719" s="1">
        <v>86338</v>
      </c>
      <c r="B719" s="1" t="str">
        <f>VLOOKUP( WeatherData[[#This Row],[Station Number]], 'Station Numbers'!A:B,2,FALSE)</f>
        <v xml:space="preserve">Melbourne (Olympic Park) </v>
      </c>
      <c r="C719" s="1">
        <v>2020</v>
      </c>
      <c r="D719" s="1">
        <v>12</v>
      </c>
      <c r="E719" s="1">
        <v>17</v>
      </c>
      <c r="F719" s="2">
        <f>DATE(WeatherData[[#This Row],[Year]],WeatherData[[#This Row],[Month]],WeatherData[[#This Row],[Day]])</f>
        <v>44182</v>
      </c>
      <c r="G719" s="2" t="str">
        <f>TEXT(WeatherData[[#This Row],[Date]], "mmmm")</f>
        <v>December</v>
      </c>
      <c r="H719" s="16">
        <v>0</v>
      </c>
      <c r="I719" s="16">
        <v>25.7</v>
      </c>
      <c r="J719" s="16">
        <v>15.5</v>
      </c>
      <c r="K719" s="6">
        <f t="shared" si="22"/>
        <v>10.199999999999999</v>
      </c>
      <c r="L719" s="4" t="str">
        <f t="shared" si="23"/>
        <v>Normal</v>
      </c>
    </row>
    <row r="720" spans="1:12" ht="18" customHeight="1" x14ac:dyDescent="0.3">
      <c r="A720" s="1">
        <v>86338</v>
      </c>
      <c r="B720" s="1" t="str">
        <f>VLOOKUP( WeatherData[[#This Row],[Station Number]], 'Station Numbers'!A:B,2,FALSE)</f>
        <v xml:space="preserve">Melbourne (Olympic Park) </v>
      </c>
      <c r="C720" s="1">
        <v>2020</v>
      </c>
      <c r="D720" s="1">
        <v>12</v>
      </c>
      <c r="E720" s="1">
        <v>18</v>
      </c>
      <c r="F720" s="2">
        <f>DATE(WeatherData[[#This Row],[Year]],WeatherData[[#This Row],[Month]],WeatherData[[#This Row],[Day]])</f>
        <v>44183</v>
      </c>
      <c r="G720" s="2" t="str">
        <f>TEXT(WeatherData[[#This Row],[Date]], "mmmm")</f>
        <v>December</v>
      </c>
      <c r="H720" s="16">
        <v>7.6</v>
      </c>
      <c r="I720" s="16">
        <v>18.399999999999999</v>
      </c>
      <c r="J720" s="16">
        <v>12.5</v>
      </c>
      <c r="K720" s="6">
        <f t="shared" si="22"/>
        <v>5.8999999999999986</v>
      </c>
      <c r="L720" s="4" t="str">
        <f t="shared" si="23"/>
        <v>Normal</v>
      </c>
    </row>
    <row r="721" spans="1:12" ht="18" customHeight="1" x14ac:dyDescent="0.3">
      <c r="A721" s="1">
        <v>86338</v>
      </c>
      <c r="B721" s="1" t="str">
        <f>VLOOKUP( WeatherData[[#This Row],[Station Number]], 'Station Numbers'!A:B,2,FALSE)</f>
        <v xml:space="preserve">Melbourne (Olympic Park) </v>
      </c>
      <c r="C721" s="1">
        <v>2020</v>
      </c>
      <c r="D721" s="1">
        <v>12</v>
      </c>
      <c r="E721" s="1">
        <v>19</v>
      </c>
      <c r="F721" s="2">
        <f>DATE(WeatherData[[#This Row],[Year]],WeatherData[[#This Row],[Month]],WeatherData[[#This Row],[Day]])</f>
        <v>44184</v>
      </c>
      <c r="G721" s="2" t="str">
        <f>TEXT(WeatherData[[#This Row],[Date]], "mmmm")</f>
        <v>December</v>
      </c>
      <c r="H721" s="16">
        <v>0.2</v>
      </c>
      <c r="I721" s="16">
        <v>19.899999999999999</v>
      </c>
      <c r="J721" s="16">
        <v>12.3</v>
      </c>
      <c r="K721" s="6">
        <f t="shared" si="22"/>
        <v>7.5999999999999979</v>
      </c>
      <c r="L721" s="4" t="str">
        <f t="shared" si="23"/>
        <v>Normal</v>
      </c>
    </row>
    <row r="722" spans="1:12" ht="18" customHeight="1" x14ac:dyDescent="0.3">
      <c r="A722" s="1">
        <v>86338</v>
      </c>
      <c r="B722" s="1" t="str">
        <f>VLOOKUP( WeatherData[[#This Row],[Station Number]], 'Station Numbers'!A:B,2,FALSE)</f>
        <v xml:space="preserve">Melbourne (Olympic Park) </v>
      </c>
      <c r="C722" s="1">
        <v>2020</v>
      </c>
      <c r="D722" s="1">
        <v>12</v>
      </c>
      <c r="E722" s="1">
        <v>20</v>
      </c>
      <c r="F722" s="2">
        <f>DATE(WeatherData[[#This Row],[Year]],WeatherData[[#This Row],[Month]],WeatherData[[#This Row],[Day]])</f>
        <v>44185</v>
      </c>
      <c r="G722" s="2" t="str">
        <f>TEXT(WeatherData[[#This Row],[Date]], "mmmm")</f>
        <v>December</v>
      </c>
      <c r="H722" s="16">
        <v>0</v>
      </c>
      <c r="I722" s="16">
        <v>18.899999999999999</v>
      </c>
      <c r="J722" s="16">
        <v>9.9</v>
      </c>
      <c r="K722" s="6">
        <f t="shared" si="22"/>
        <v>8.9999999999999982</v>
      </c>
      <c r="L722" s="4" t="str">
        <f t="shared" si="23"/>
        <v>Normal</v>
      </c>
    </row>
    <row r="723" spans="1:12" ht="18" customHeight="1" x14ac:dyDescent="0.3">
      <c r="A723" s="1">
        <v>86338</v>
      </c>
      <c r="B723" s="1" t="str">
        <f>VLOOKUP( WeatherData[[#This Row],[Station Number]], 'Station Numbers'!A:B,2,FALSE)</f>
        <v xml:space="preserve">Melbourne (Olympic Park) </v>
      </c>
      <c r="C723" s="1">
        <v>2020</v>
      </c>
      <c r="D723" s="1">
        <v>12</v>
      </c>
      <c r="E723" s="1">
        <v>21</v>
      </c>
      <c r="F723" s="2">
        <f>DATE(WeatherData[[#This Row],[Year]],WeatherData[[#This Row],[Month]],WeatherData[[#This Row],[Day]])</f>
        <v>44186</v>
      </c>
      <c r="G723" s="2" t="str">
        <f>TEXT(WeatherData[[#This Row],[Date]], "mmmm")</f>
        <v>December</v>
      </c>
      <c r="H723" s="16">
        <v>0</v>
      </c>
      <c r="I723" s="16">
        <v>21.5</v>
      </c>
      <c r="J723" s="16">
        <v>11.2</v>
      </c>
      <c r="K723" s="6">
        <f t="shared" si="22"/>
        <v>10.3</v>
      </c>
      <c r="L723" s="4" t="str">
        <f t="shared" si="23"/>
        <v>Normal</v>
      </c>
    </row>
    <row r="724" spans="1:12" ht="18" customHeight="1" x14ac:dyDescent="0.3">
      <c r="A724" s="1">
        <v>86338</v>
      </c>
      <c r="B724" s="1" t="str">
        <f>VLOOKUP( WeatherData[[#This Row],[Station Number]], 'Station Numbers'!A:B,2,FALSE)</f>
        <v xml:space="preserve">Melbourne (Olympic Park) </v>
      </c>
      <c r="C724" s="1">
        <v>2020</v>
      </c>
      <c r="D724" s="1">
        <v>12</v>
      </c>
      <c r="E724" s="1">
        <v>22</v>
      </c>
      <c r="F724" s="2">
        <f>DATE(WeatherData[[#This Row],[Year]],WeatherData[[#This Row],[Month]],WeatherData[[#This Row],[Day]])</f>
        <v>44187</v>
      </c>
      <c r="G724" s="2" t="str">
        <f>TEXT(WeatherData[[#This Row],[Date]], "mmmm")</f>
        <v>December</v>
      </c>
      <c r="H724" s="16">
        <v>13.2</v>
      </c>
      <c r="I724" s="16">
        <v>20.399999999999999</v>
      </c>
      <c r="J724" s="16">
        <v>13.8</v>
      </c>
      <c r="K724" s="6">
        <f t="shared" si="22"/>
        <v>6.5999999999999979</v>
      </c>
      <c r="L724" s="4" t="str">
        <f t="shared" si="23"/>
        <v>Normal</v>
      </c>
    </row>
    <row r="725" spans="1:12" ht="18" customHeight="1" x14ac:dyDescent="0.3">
      <c r="A725" s="1">
        <v>86338</v>
      </c>
      <c r="B725" s="1" t="str">
        <f>VLOOKUP( WeatherData[[#This Row],[Station Number]], 'Station Numbers'!A:B,2,FALSE)</f>
        <v xml:space="preserve">Melbourne (Olympic Park) </v>
      </c>
      <c r="C725" s="1">
        <v>2020</v>
      </c>
      <c r="D725" s="1">
        <v>12</v>
      </c>
      <c r="E725" s="1">
        <v>23</v>
      </c>
      <c r="F725" s="2">
        <f>DATE(WeatherData[[#This Row],[Year]],WeatherData[[#This Row],[Month]],WeatherData[[#This Row],[Day]])</f>
        <v>44188</v>
      </c>
      <c r="G725" s="2" t="str">
        <f>TEXT(WeatherData[[#This Row],[Date]], "mmmm")</f>
        <v>December</v>
      </c>
      <c r="H725" s="16">
        <v>6</v>
      </c>
      <c r="I725" s="16">
        <v>19.5</v>
      </c>
      <c r="J725" s="16">
        <v>13.5</v>
      </c>
      <c r="K725" s="6">
        <f t="shared" si="22"/>
        <v>6</v>
      </c>
      <c r="L725" s="4" t="str">
        <f t="shared" si="23"/>
        <v>Normal</v>
      </c>
    </row>
    <row r="726" spans="1:12" ht="18" customHeight="1" x14ac:dyDescent="0.3">
      <c r="A726" s="1">
        <v>86338</v>
      </c>
      <c r="B726" s="1" t="str">
        <f>VLOOKUP( WeatherData[[#This Row],[Station Number]], 'Station Numbers'!A:B,2,FALSE)</f>
        <v xml:space="preserve">Melbourne (Olympic Park) </v>
      </c>
      <c r="C726" s="1">
        <v>2020</v>
      </c>
      <c r="D726" s="1">
        <v>12</v>
      </c>
      <c r="E726" s="1">
        <v>24</v>
      </c>
      <c r="F726" s="2">
        <f>DATE(WeatherData[[#This Row],[Year]],WeatherData[[#This Row],[Month]],WeatherData[[#This Row],[Day]])</f>
        <v>44189</v>
      </c>
      <c r="G726" s="2" t="str">
        <f>TEXT(WeatherData[[#This Row],[Date]], "mmmm")</f>
        <v>December</v>
      </c>
      <c r="H726" s="16">
        <v>1</v>
      </c>
      <c r="I726" s="16">
        <v>18.7</v>
      </c>
      <c r="J726" s="16">
        <v>13.4</v>
      </c>
      <c r="K726" s="6">
        <f t="shared" si="22"/>
        <v>5.2999999999999989</v>
      </c>
      <c r="L726" s="4" t="str">
        <f t="shared" si="23"/>
        <v>Normal</v>
      </c>
    </row>
    <row r="727" spans="1:12" ht="18" customHeight="1" x14ac:dyDescent="0.3">
      <c r="A727" s="1">
        <v>86338</v>
      </c>
      <c r="B727" s="1" t="str">
        <f>VLOOKUP( WeatherData[[#This Row],[Station Number]], 'Station Numbers'!A:B,2,FALSE)</f>
        <v xml:space="preserve">Melbourne (Olympic Park) </v>
      </c>
      <c r="C727" s="1">
        <v>2020</v>
      </c>
      <c r="D727" s="1">
        <v>12</v>
      </c>
      <c r="E727" s="1">
        <v>25</v>
      </c>
      <c r="F727" s="2">
        <f>DATE(WeatherData[[#This Row],[Year]],WeatherData[[#This Row],[Month]],WeatherData[[#This Row],[Day]])</f>
        <v>44190</v>
      </c>
      <c r="G727" s="2" t="str">
        <f>TEXT(WeatherData[[#This Row],[Date]], "mmmm")</f>
        <v>December</v>
      </c>
      <c r="H727" s="16">
        <v>0</v>
      </c>
      <c r="I727" s="16">
        <v>20</v>
      </c>
      <c r="J727" s="16">
        <v>13.6</v>
      </c>
      <c r="K727" s="6">
        <f t="shared" si="22"/>
        <v>6.4</v>
      </c>
      <c r="L727" s="4" t="str">
        <f t="shared" si="23"/>
        <v>Normal</v>
      </c>
    </row>
    <row r="728" spans="1:12" ht="18" customHeight="1" x14ac:dyDescent="0.3">
      <c r="A728" s="1">
        <v>86338</v>
      </c>
      <c r="B728" s="1" t="str">
        <f>VLOOKUP( WeatherData[[#This Row],[Station Number]], 'Station Numbers'!A:B,2,FALSE)</f>
        <v xml:space="preserve">Melbourne (Olympic Park) </v>
      </c>
      <c r="C728" s="1">
        <v>2020</v>
      </c>
      <c r="D728" s="1">
        <v>12</v>
      </c>
      <c r="E728" s="1">
        <v>26</v>
      </c>
      <c r="F728" s="2">
        <f>DATE(WeatherData[[#This Row],[Year]],WeatherData[[#This Row],[Month]],WeatherData[[#This Row],[Day]])</f>
        <v>44191</v>
      </c>
      <c r="G728" s="2" t="str">
        <f>TEXT(WeatherData[[#This Row],[Date]], "mmmm")</f>
        <v>December</v>
      </c>
      <c r="H728" s="16">
        <v>0</v>
      </c>
      <c r="I728" s="16">
        <v>27.4</v>
      </c>
      <c r="J728" s="16">
        <v>10.199999999999999</v>
      </c>
      <c r="K728" s="6">
        <f t="shared" si="22"/>
        <v>17.2</v>
      </c>
      <c r="L728" s="4" t="str">
        <f t="shared" si="23"/>
        <v>Normal</v>
      </c>
    </row>
    <row r="729" spans="1:12" ht="18" customHeight="1" x14ac:dyDescent="0.3">
      <c r="A729" s="1">
        <v>86338</v>
      </c>
      <c r="B729" s="1" t="str">
        <f>VLOOKUP( WeatherData[[#This Row],[Station Number]], 'Station Numbers'!A:B,2,FALSE)</f>
        <v xml:space="preserve">Melbourne (Olympic Park) </v>
      </c>
      <c r="C729" s="1">
        <v>2020</v>
      </c>
      <c r="D729" s="1">
        <v>12</v>
      </c>
      <c r="E729" s="1">
        <v>27</v>
      </c>
      <c r="F729" s="2">
        <f>DATE(WeatherData[[#This Row],[Year]],WeatherData[[#This Row],[Month]],WeatherData[[#This Row],[Day]])</f>
        <v>44192</v>
      </c>
      <c r="G729" s="2" t="str">
        <f>TEXT(WeatherData[[#This Row],[Date]], "mmmm")</f>
        <v>December</v>
      </c>
      <c r="H729" s="16">
        <v>0</v>
      </c>
      <c r="I729" s="16">
        <v>31.9</v>
      </c>
      <c r="J729" s="16">
        <v>16.2</v>
      </c>
      <c r="K729" s="6">
        <f t="shared" si="22"/>
        <v>15.7</v>
      </c>
      <c r="L729" s="4" t="str">
        <f t="shared" si="23"/>
        <v>Normal</v>
      </c>
    </row>
    <row r="730" spans="1:12" ht="18" customHeight="1" x14ac:dyDescent="0.3">
      <c r="A730" s="1">
        <v>86338</v>
      </c>
      <c r="B730" s="1" t="str">
        <f>VLOOKUP( WeatherData[[#This Row],[Station Number]], 'Station Numbers'!A:B,2,FALSE)</f>
        <v xml:space="preserve">Melbourne (Olympic Park) </v>
      </c>
      <c r="C730" s="1">
        <v>2020</v>
      </c>
      <c r="D730" s="1">
        <v>12</v>
      </c>
      <c r="E730" s="1">
        <v>28</v>
      </c>
      <c r="F730" s="2">
        <f>DATE(WeatherData[[#This Row],[Year]],WeatherData[[#This Row],[Month]],WeatherData[[#This Row],[Day]])</f>
        <v>44193</v>
      </c>
      <c r="G730" s="2" t="str">
        <f>TEXT(WeatherData[[#This Row],[Date]], "mmmm")</f>
        <v>December</v>
      </c>
      <c r="H730" s="16">
        <v>3.2</v>
      </c>
      <c r="I730" s="16">
        <v>17.8</v>
      </c>
      <c r="J730" s="16">
        <v>11.5</v>
      </c>
      <c r="K730" s="6">
        <f t="shared" si="22"/>
        <v>6.3000000000000007</v>
      </c>
      <c r="L730" s="4" t="str">
        <f t="shared" si="23"/>
        <v>Normal</v>
      </c>
    </row>
    <row r="731" spans="1:12" ht="18" customHeight="1" x14ac:dyDescent="0.3">
      <c r="A731" s="1">
        <v>86338</v>
      </c>
      <c r="B731" s="1" t="str">
        <f>VLOOKUP( WeatherData[[#This Row],[Station Number]], 'Station Numbers'!A:B,2,FALSE)</f>
        <v xml:space="preserve">Melbourne (Olympic Park) </v>
      </c>
      <c r="C731" s="1">
        <v>2020</v>
      </c>
      <c r="D731" s="1">
        <v>12</v>
      </c>
      <c r="E731" s="1">
        <v>29</v>
      </c>
      <c r="F731" s="2">
        <f>DATE(WeatherData[[#This Row],[Year]],WeatherData[[#This Row],[Month]],WeatherData[[#This Row],[Day]])</f>
        <v>44194</v>
      </c>
      <c r="G731" s="2" t="str">
        <f>TEXT(WeatherData[[#This Row],[Date]], "mmmm")</f>
        <v>December</v>
      </c>
      <c r="H731" s="16">
        <v>0</v>
      </c>
      <c r="I731" s="16">
        <v>21.3</v>
      </c>
      <c r="J731" s="16">
        <v>9</v>
      </c>
      <c r="K731" s="6">
        <f t="shared" si="22"/>
        <v>12.3</v>
      </c>
      <c r="L731" s="4" t="str">
        <f t="shared" si="23"/>
        <v>Normal</v>
      </c>
    </row>
    <row r="732" spans="1:12" ht="18" customHeight="1" x14ac:dyDescent="0.3">
      <c r="A732" s="1">
        <v>86338</v>
      </c>
      <c r="B732" s="1" t="str">
        <f>VLOOKUP( WeatherData[[#This Row],[Station Number]], 'Station Numbers'!A:B,2,FALSE)</f>
        <v xml:space="preserve">Melbourne (Olympic Park) </v>
      </c>
      <c r="C732" s="1">
        <v>2020</v>
      </c>
      <c r="D732" s="1">
        <v>12</v>
      </c>
      <c r="E732" s="1">
        <v>30</v>
      </c>
      <c r="F732" s="2">
        <f>DATE(WeatherData[[#This Row],[Year]],WeatherData[[#This Row],[Month]],WeatherData[[#This Row],[Day]])</f>
        <v>44195</v>
      </c>
      <c r="G732" s="2" t="str">
        <f>TEXT(WeatherData[[#This Row],[Date]], "mmmm")</f>
        <v>December</v>
      </c>
      <c r="H732" s="16">
        <v>0</v>
      </c>
      <c r="I732" s="16">
        <v>21.4</v>
      </c>
      <c r="J732" s="16">
        <v>13.7</v>
      </c>
      <c r="K732" s="6">
        <f t="shared" si="22"/>
        <v>7.6999999999999993</v>
      </c>
      <c r="L732" s="4" t="str">
        <f t="shared" si="23"/>
        <v>Normal</v>
      </c>
    </row>
    <row r="733" spans="1:12" ht="18" customHeight="1" x14ac:dyDescent="0.3">
      <c r="A733" s="1">
        <v>86338</v>
      </c>
      <c r="B733" s="1" t="str">
        <f>VLOOKUP( WeatherData[[#This Row],[Station Number]], 'Station Numbers'!A:B,2,FALSE)</f>
        <v xml:space="preserve">Melbourne (Olympic Park) </v>
      </c>
      <c r="C733" s="1">
        <v>2020</v>
      </c>
      <c r="D733" s="1">
        <v>12</v>
      </c>
      <c r="E733" s="1">
        <v>31</v>
      </c>
      <c r="F733" s="2">
        <f>DATE(WeatherData[[#This Row],[Year]],WeatherData[[#This Row],[Month]],WeatherData[[#This Row],[Day]])</f>
        <v>44196</v>
      </c>
      <c r="G733" s="2" t="str">
        <f>TEXT(WeatherData[[#This Row],[Date]], "mmmm")</f>
        <v>December</v>
      </c>
      <c r="H733" s="16">
        <v>0</v>
      </c>
      <c r="I733" s="16">
        <v>21.2</v>
      </c>
      <c r="J733" s="16">
        <v>15.5</v>
      </c>
      <c r="K733" s="6">
        <f t="shared" si="22"/>
        <v>5.6999999999999993</v>
      </c>
      <c r="L733" s="4" t="str">
        <f t="shared" si="23"/>
        <v>Normal</v>
      </c>
    </row>
    <row r="734" spans="1:12" ht="18" customHeight="1" x14ac:dyDescent="0.3"/>
    <row r="735" spans="1:12" ht="18" customHeight="1" x14ac:dyDescent="0.3"/>
    <row r="736" spans="1:12" ht="18" customHeight="1" x14ac:dyDescent="0.3"/>
    <row r="737" ht="18" customHeight="1" x14ac:dyDescent="0.3"/>
    <row r="738" ht="18" customHeight="1" x14ac:dyDescent="0.3"/>
    <row r="739" ht="18" customHeight="1" x14ac:dyDescent="0.3"/>
    <row r="740" ht="18" customHeight="1" x14ac:dyDescent="0.3"/>
    <row r="741" ht="18" customHeight="1" x14ac:dyDescent="0.3"/>
    <row r="742" ht="18" customHeight="1" x14ac:dyDescent="0.3"/>
    <row r="743" ht="18" customHeight="1" x14ac:dyDescent="0.3"/>
    <row r="744" ht="18" customHeight="1" x14ac:dyDescent="0.3"/>
    <row r="745" ht="18" customHeight="1" x14ac:dyDescent="0.3"/>
    <row r="746" ht="18" customHeight="1" x14ac:dyDescent="0.3"/>
    <row r="747" ht="18" customHeight="1" x14ac:dyDescent="0.3"/>
    <row r="748" ht="18" customHeight="1" x14ac:dyDescent="0.3"/>
    <row r="749" ht="18" customHeight="1" x14ac:dyDescent="0.3"/>
    <row r="750" ht="18" customHeight="1" x14ac:dyDescent="0.3"/>
    <row r="751" ht="18" customHeight="1" x14ac:dyDescent="0.3"/>
    <row r="752" ht="18" customHeight="1" x14ac:dyDescent="0.3"/>
    <row r="753" ht="18" customHeight="1" x14ac:dyDescent="0.3"/>
    <row r="754" ht="18" customHeight="1" x14ac:dyDescent="0.3"/>
    <row r="755" ht="18" customHeight="1" x14ac:dyDescent="0.3"/>
    <row r="756" ht="18" customHeight="1" x14ac:dyDescent="0.3"/>
    <row r="757" ht="18" customHeight="1" x14ac:dyDescent="0.3"/>
    <row r="758" ht="18" customHeight="1" x14ac:dyDescent="0.3"/>
    <row r="759" ht="18" customHeight="1" x14ac:dyDescent="0.3"/>
    <row r="760" ht="18" customHeight="1" x14ac:dyDescent="0.3"/>
    <row r="761" ht="18" customHeight="1" x14ac:dyDescent="0.3"/>
    <row r="762" ht="18" customHeight="1" x14ac:dyDescent="0.3"/>
    <row r="763" ht="18" customHeight="1" x14ac:dyDescent="0.3"/>
    <row r="764" ht="18" customHeight="1" x14ac:dyDescent="0.3"/>
    <row r="765" ht="18" customHeight="1" x14ac:dyDescent="0.3"/>
    <row r="766" ht="18" customHeight="1" x14ac:dyDescent="0.3"/>
    <row r="767" ht="18" customHeight="1" x14ac:dyDescent="0.3"/>
    <row r="768" ht="18" customHeight="1" x14ac:dyDescent="0.3"/>
    <row r="769" ht="18" customHeight="1" x14ac:dyDescent="0.3"/>
    <row r="770" ht="18" customHeight="1" x14ac:dyDescent="0.3"/>
    <row r="771" ht="18" customHeight="1" x14ac:dyDescent="0.3"/>
    <row r="772" ht="18" customHeight="1" x14ac:dyDescent="0.3"/>
    <row r="773" ht="18" customHeight="1" x14ac:dyDescent="0.3"/>
    <row r="774" ht="18" customHeight="1" x14ac:dyDescent="0.3"/>
    <row r="775" ht="18" customHeight="1" x14ac:dyDescent="0.3"/>
    <row r="776" ht="18" customHeight="1" x14ac:dyDescent="0.3"/>
    <row r="777" ht="18" customHeight="1" x14ac:dyDescent="0.3"/>
    <row r="778" ht="18" customHeight="1" x14ac:dyDescent="0.3"/>
    <row r="779" ht="18" customHeight="1" x14ac:dyDescent="0.3"/>
    <row r="780" ht="18" customHeight="1" x14ac:dyDescent="0.3"/>
    <row r="781" ht="18" customHeight="1" x14ac:dyDescent="0.3"/>
    <row r="782" ht="18" customHeight="1" x14ac:dyDescent="0.3"/>
    <row r="783" ht="18" customHeight="1" x14ac:dyDescent="0.3"/>
    <row r="784" ht="18" customHeight="1" x14ac:dyDescent="0.3"/>
    <row r="785" ht="18" customHeight="1" x14ac:dyDescent="0.3"/>
    <row r="786" ht="18" customHeight="1" x14ac:dyDescent="0.3"/>
    <row r="787" ht="18" customHeight="1" x14ac:dyDescent="0.3"/>
    <row r="788" ht="18" customHeight="1" x14ac:dyDescent="0.3"/>
    <row r="789" ht="18" customHeight="1" x14ac:dyDescent="0.3"/>
    <row r="790" ht="18" customHeight="1" x14ac:dyDescent="0.3"/>
    <row r="791" ht="18" customHeight="1" x14ac:dyDescent="0.3"/>
    <row r="792" ht="18" customHeight="1" x14ac:dyDescent="0.3"/>
    <row r="793" ht="18" customHeight="1" x14ac:dyDescent="0.3"/>
    <row r="794" ht="18" customHeight="1" x14ac:dyDescent="0.3"/>
    <row r="795" ht="18" customHeight="1" x14ac:dyDescent="0.3"/>
    <row r="796" ht="18" customHeight="1" x14ac:dyDescent="0.3"/>
    <row r="797" ht="18" customHeight="1" x14ac:dyDescent="0.3"/>
    <row r="798" ht="18" customHeight="1" x14ac:dyDescent="0.3"/>
    <row r="799" ht="18" customHeight="1" x14ac:dyDescent="0.3"/>
    <row r="800" ht="18" customHeight="1" x14ac:dyDescent="0.3"/>
    <row r="801" ht="18" customHeight="1" x14ac:dyDescent="0.3"/>
    <row r="802" ht="18" customHeight="1" x14ac:dyDescent="0.3"/>
    <row r="803" ht="18" customHeight="1" x14ac:dyDescent="0.3"/>
    <row r="804" ht="18" customHeight="1" x14ac:dyDescent="0.3"/>
    <row r="805" ht="18" customHeight="1" x14ac:dyDescent="0.3"/>
    <row r="806" ht="18" customHeight="1" x14ac:dyDescent="0.3"/>
    <row r="807" ht="18" customHeight="1" x14ac:dyDescent="0.3"/>
    <row r="808" ht="18" customHeight="1" x14ac:dyDescent="0.3"/>
    <row r="809" ht="18" customHeight="1" x14ac:dyDescent="0.3"/>
    <row r="810" ht="18" customHeight="1" x14ac:dyDescent="0.3"/>
    <row r="811" ht="18" customHeight="1" x14ac:dyDescent="0.3"/>
    <row r="812" ht="18" customHeight="1" x14ac:dyDescent="0.3"/>
    <row r="813" ht="18" customHeight="1" x14ac:dyDescent="0.3"/>
    <row r="814" ht="18" customHeight="1" x14ac:dyDescent="0.3"/>
    <row r="815" ht="18" customHeight="1" x14ac:dyDescent="0.3"/>
    <row r="816" ht="18" customHeight="1" x14ac:dyDescent="0.3"/>
    <row r="817" ht="18" customHeight="1" x14ac:dyDescent="0.3"/>
    <row r="818" ht="18" customHeight="1" x14ac:dyDescent="0.3"/>
    <row r="819" ht="18" customHeight="1" x14ac:dyDescent="0.3"/>
    <row r="820" ht="18" customHeight="1" x14ac:dyDescent="0.3"/>
    <row r="821" ht="18" customHeight="1" x14ac:dyDescent="0.3"/>
    <row r="822" ht="18" customHeight="1" x14ac:dyDescent="0.3"/>
    <row r="823" ht="18" customHeight="1" x14ac:dyDescent="0.3"/>
    <row r="824" ht="18" customHeight="1" x14ac:dyDescent="0.3"/>
    <row r="825" ht="18" customHeight="1" x14ac:dyDescent="0.3"/>
    <row r="826" ht="18" customHeight="1" x14ac:dyDescent="0.3"/>
    <row r="827" ht="18" customHeight="1" x14ac:dyDescent="0.3"/>
    <row r="828" ht="18" customHeight="1" x14ac:dyDescent="0.3"/>
    <row r="829" ht="18" customHeight="1" x14ac:dyDescent="0.3"/>
    <row r="830" ht="18" customHeight="1" x14ac:dyDescent="0.3"/>
    <row r="831" ht="18" customHeight="1" x14ac:dyDescent="0.3"/>
    <row r="832" ht="18" customHeight="1" x14ac:dyDescent="0.3"/>
    <row r="833" ht="18" customHeight="1" x14ac:dyDescent="0.3"/>
    <row r="834" ht="18" customHeight="1" x14ac:dyDescent="0.3"/>
    <row r="835" ht="18" customHeight="1" x14ac:dyDescent="0.3"/>
    <row r="836" ht="18" customHeight="1" x14ac:dyDescent="0.3"/>
    <row r="837" ht="18" customHeight="1" x14ac:dyDescent="0.3"/>
    <row r="838" ht="18" customHeight="1" x14ac:dyDescent="0.3"/>
    <row r="839" ht="18" customHeight="1" x14ac:dyDescent="0.3"/>
    <row r="840" ht="18" customHeight="1" x14ac:dyDescent="0.3"/>
    <row r="841" ht="18" customHeight="1" x14ac:dyDescent="0.3"/>
    <row r="842" ht="18" customHeight="1" x14ac:dyDescent="0.3"/>
    <row r="843" ht="18" customHeight="1" x14ac:dyDescent="0.3"/>
    <row r="844" ht="18" customHeight="1" x14ac:dyDescent="0.3"/>
    <row r="845" ht="18" customHeight="1" x14ac:dyDescent="0.3"/>
    <row r="846" ht="18" customHeight="1" x14ac:dyDescent="0.3"/>
    <row r="847" ht="18" customHeight="1" x14ac:dyDescent="0.3"/>
    <row r="848" ht="18" customHeight="1" x14ac:dyDescent="0.3"/>
    <row r="849" ht="18" customHeight="1" x14ac:dyDescent="0.3"/>
    <row r="850" ht="18" customHeight="1" x14ac:dyDescent="0.3"/>
    <row r="851" ht="18" customHeight="1" x14ac:dyDescent="0.3"/>
    <row r="852" ht="18" customHeight="1" x14ac:dyDescent="0.3"/>
    <row r="853" ht="18" customHeight="1" x14ac:dyDescent="0.3"/>
    <row r="854" ht="18" customHeight="1" x14ac:dyDescent="0.3"/>
    <row r="855" ht="18" customHeight="1" x14ac:dyDescent="0.3"/>
    <row r="856" ht="18" customHeight="1" x14ac:dyDescent="0.3"/>
    <row r="857" ht="18" customHeight="1" x14ac:dyDescent="0.3"/>
    <row r="858" ht="18" customHeight="1" x14ac:dyDescent="0.3"/>
    <row r="859" ht="18" customHeight="1" x14ac:dyDescent="0.3"/>
    <row r="860" ht="18" customHeight="1" x14ac:dyDescent="0.3"/>
    <row r="861" ht="18" customHeight="1" x14ac:dyDescent="0.3"/>
    <row r="862" ht="18" customHeight="1" x14ac:dyDescent="0.3"/>
    <row r="863" ht="18" customHeight="1" x14ac:dyDescent="0.3"/>
    <row r="864" ht="18" customHeight="1" x14ac:dyDescent="0.3"/>
    <row r="865" ht="18" customHeight="1" x14ac:dyDescent="0.3"/>
    <row r="866" ht="18" customHeight="1" x14ac:dyDescent="0.3"/>
    <row r="867" ht="18" customHeight="1" x14ac:dyDescent="0.3"/>
    <row r="868" ht="18" customHeight="1" x14ac:dyDescent="0.3"/>
    <row r="869" ht="18" customHeight="1" x14ac:dyDescent="0.3"/>
    <row r="870" ht="18" customHeight="1" x14ac:dyDescent="0.3"/>
    <row r="871" ht="18" customHeight="1" x14ac:dyDescent="0.3"/>
    <row r="872" ht="18" customHeight="1" x14ac:dyDescent="0.3"/>
    <row r="873" ht="18" customHeight="1" x14ac:dyDescent="0.3"/>
    <row r="874" ht="18" customHeight="1" x14ac:dyDescent="0.3"/>
    <row r="875" ht="18" customHeight="1" x14ac:dyDescent="0.3"/>
    <row r="876" ht="18" customHeight="1" x14ac:dyDescent="0.3"/>
    <row r="877" ht="18" customHeight="1" x14ac:dyDescent="0.3"/>
    <row r="878" ht="18" customHeight="1" x14ac:dyDescent="0.3"/>
    <row r="879" ht="18" customHeight="1" x14ac:dyDescent="0.3"/>
    <row r="880" ht="18" customHeight="1" x14ac:dyDescent="0.3"/>
    <row r="881" ht="18" customHeight="1" x14ac:dyDescent="0.3"/>
    <row r="882" ht="18" customHeight="1" x14ac:dyDescent="0.3"/>
    <row r="883" ht="18" customHeight="1" x14ac:dyDescent="0.3"/>
    <row r="884" ht="18" customHeight="1" x14ac:dyDescent="0.3"/>
    <row r="885" ht="18" customHeight="1" x14ac:dyDescent="0.3"/>
    <row r="886" ht="18" customHeight="1" x14ac:dyDescent="0.3"/>
    <row r="887" ht="18" customHeight="1" x14ac:dyDescent="0.3"/>
    <row r="888" ht="18" customHeight="1" x14ac:dyDescent="0.3"/>
    <row r="889" ht="18" customHeight="1" x14ac:dyDescent="0.3"/>
    <row r="890" ht="18" customHeight="1" x14ac:dyDescent="0.3"/>
    <row r="891" ht="18" customHeight="1" x14ac:dyDescent="0.3"/>
    <row r="892" ht="18" customHeight="1" x14ac:dyDescent="0.3"/>
    <row r="893" ht="18" customHeight="1" x14ac:dyDescent="0.3"/>
    <row r="894" ht="18" customHeight="1" x14ac:dyDescent="0.3"/>
    <row r="895" ht="18" customHeight="1" x14ac:dyDescent="0.3"/>
    <row r="896" ht="18" customHeight="1" x14ac:dyDescent="0.3"/>
    <row r="897" ht="18" customHeight="1" x14ac:dyDescent="0.3"/>
    <row r="898" ht="18" customHeight="1" x14ac:dyDescent="0.3"/>
    <row r="899" ht="18" customHeight="1" x14ac:dyDescent="0.3"/>
    <row r="900" ht="18" customHeight="1" x14ac:dyDescent="0.3"/>
    <row r="901" ht="18" customHeight="1" x14ac:dyDescent="0.3"/>
    <row r="902" ht="18" customHeight="1" x14ac:dyDescent="0.3"/>
    <row r="903" ht="18" customHeight="1" x14ac:dyDescent="0.3"/>
    <row r="904" ht="18" customHeight="1" x14ac:dyDescent="0.3"/>
    <row r="905" ht="18" customHeight="1" x14ac:dyDescent="0.3"/>
    <row r="906" ht="18" customHeight="1" x14ac:dyDescent="0.3"/>
    <row r="907" ht="18" customHeight="1" x14ac:dyDescent="0.3"/>
    <row r="908" ht="18" customHeight="1" x14ac:dyDescent="0.3"/>
    <row r="909" ht="18" customHeight="1" x14ac:dyDescent="0.3"/>
    <row r="910" ht="18" customHeight="1" x14ac:dyDescent="0.3"/>
    <row r="911" ht="18" customHeight="1" x14ac:dyDescent="0.3"/>
    <row r="912" ht="18" customHeight="1" x14ac:dyDescent="0.3"/>
    <row r="913" ht="18" customHeight="1" x14ac:dyDescent="0.3"/>
    <row r="914" ht="18" customHeight="1" x14ac:dyDescent="0.3"/>
    <row r="915" ht="18" customHeight="1" x14ac:dyDescent="0.3"/>
    <row r="916" ht="18" customHeight="1" x14ac:dyDescent="0.3"/>
    <row r="917" ht="18" customHeight="1" x14ac:dyDescent="0.3"/>
    <row r="918" ht="18" customHeight="1" x14ac:dyDescent="0.3"/>
    <row r="919" ht="18" customHeight="1" x14ac:dyDescent="0.3"/>
    <row r="920" ht="18" customHeight="1" x14ac:dyDescent="0.3"/>
    <row r="921" ht="18" customHeight="1" x14ac:dyDescent="0.3"/>
    <row r="922" ht="18" customHeight="1" x14ac:dyDescent="0.3"/>
    <row r="923" ht="18" customHeight="1" x14ac:dyDescent="0.3"/>
    <row r="924" ht="18" customHeight="1" x14ac:dyDescent="0.3"/>
    <row r="925" ht="18" customHeight="1" x14ac:dyDescent="0.3"/>
    <row r="926" ht="18" customHeight="1" x14ac:dyDescent="0.3"/>
    <row r="927" ht="18" customHeight="1" x14ac:dyDescent="0.3"/>
    <row r="928" ht="18" customHeight="1" x14ac:dyDescent="0.3"/>
    <row r="929" ht="18" customHeight="1" x14ac:dyDescent="0.3"/>
    <row r="930" ht="18" customHeight="1" x14ac:dyDescent="0.3"/>
    <row r="931" ht="18" customHeight="1" x14ac:dyDescent="0.3"/>
    <row r="932" ht="18" customHeight="1" x14ac:dyDescent="0.3"/>
    <row r="933" ht="18" customHeight="1" x14ac:dyDescent="0.3"/>
    <row r="934" ht="18" customHeight="1" x14ac:dyDescent="0.3"/>
    <row r="935" ht="18" customHeight="1" x14ac:dyDescent="0.3"/>
    <row r="936" ht="18" customHeight="1" x14ac:dyDescent="0.3"/>
    <row r="937" ht="18" customHeight="1" x14ac:dyDescent="0.3"/>
    <row r="938" ht="18" customHeight="1" x14ac:dyDescent="0.3"/>
    <row r="939" ht="18" customHeight="1" x14ac:dyDescent="0.3"/>
    <row r="940" ht="18" customHeight="1" x14ac:dyDescent="0.3"/>
    <row r="941" ht="18" customHeight="1" x14ac:dyDescent="0.3"/>
    <row r="942" ht="18" customHeight="1" x14ac:dyDescent="0.3"/>
    <row r="943" ht="18" customHeight="1" x14ac:dyDescent="0.3"/>
    <row r="944" ht="18" customHeight="1" x14ac:dyDescent="0.3"/>
    <row r="945" ht="18" customHeight="1" x14ac:dyDescent="0.3"/>
    <row r="946" ht="18" customHeight="1" x14ac:dyDescent="0.3"/>
    <row r="947" ht="18" customHeight="1" x14ac:dyDescent="0.3"/>
    <row r="948" ht="18" customHeight="1" x14ac:dyDescent="0.3"/>
    <row r="949" ht="18" customHeight="1" x14ac:dyDescent="0.3"/>
    <row r="950" ht="18" customHeight="1" x14ac:dyDescent="0.3"/>
    <row r="951" ht="18" customHeight="1" x14ac:dyDescent="0.3"/>
    <row r="952" ht="18" customHeight="1" x14ac:dyDescent="0.3"/>
    <row r="953" ht="18" customHeight="1" x14ac:dyDescent="0.3"/>
    <row r="954" ht="18" customHeight="1" x14ac:dyDescent="0.3"/>
    <row r="955" ht="18" customHeight="1" x14ac:dyDescent="0.3"/>
    <row r="956" ht="18" customHeight="1" x14ac:dyDescent="0.3"/>
    <row r="957" ht="18" customHeight="1" x14ac:dyDescent="0.3"/>
    <row r="958" ht="18" customHeight="1" x14ac:dyDescent="0.3"/>
    <row r="959" ht="18" customHeight="1" x14ac:dyDescent="0.3"/>
    <row r="960" ht="18" customHeight="1" x14ac:dyDescent="0.3"/>
    <row r="961" ht="18" customHeight="1" x14ac:dyDescent="0.3"/>
    <row r="962" ht="18" customHeight="1" x14ac:dyDescent="0.3"/>
    <row r="963" ht="18" customHeight="1" x14ac:dyDescent="0.3"/>
    <row r="964" ht="18" customHeight="1" x14ac:dyDescent="0.3"/>
    <row r="965" ht="18" customHeight="1" x14ac:dyDescent="0.3"/>
    <row r="966" ht="18" customHeight="1" x14ac:dyDescent="0.3"/>
    <row r="967" ht="18" customHeight="1" x14ac:dyDescent="0.3"/>
    <row r="968" ht="18" customHeight="1" x14ac:dyDescent="0.3"/>
    <row r="969" ht="18" customHeight="1" x14ac:dyDescent="0.3"/>
    <row r="970" ht="18" customHeight="1" x14ac:dyDescent="0.3"/>
    <row r="971" ht="18" customHeight="1" x14ac:dyDescent="0.3"/>
    <row r="972" ht="18" customHeight="1" x14ac:dyDescent="0.3"/>
    <row r="973" ht="18" customHeight="1" x14ac:dyDescent="0.3"/>
    <row r="974" ht="18" customHeight="1" x14ac:dyDescent="0.3"/>
    <row r="975" ht="18" customHeight="1" x14ac:dyDescent="0.3"/>
    <row r="976" ht="18" customHeight="1" x14ac:dyDescent="0.3"/>
    <row r="977" ht="18" customHeight="1" x14ac:dyDescent="0.3"/>
    <row r="978" ht="18" customHeight="1" x14ac:dyDescent="0.3"/>
    <row r="979" ht="18" customHeight="1" x14ac:dyDescent="0.3"/>
    <row r="980" ht="18" customHeight="1" x14ac:dyDescent="0.3"/>
    <row r="981" ht="18" customHeight="1" x14ac:dyDescent="0.3"/>
    <row r="982" ht="18" customHeight="1" x14ac:dyDescent="0.3"/>
    <row r="983" ht="18" customHeight="1" x14ac:dyDescent="0.3"/>
    <row r="984" ht="18" customHeight="1" x14ac:dyDescent="0.3"/>
    <row r="985" ht="18" customHeight="1" x14ac:dyDescent="0.3"/>
    <row r="986" ht="18" customHeight="1" x14ac:dyDescent="0.3"/>
    <row r="987" ht="18" customHeight="1" x14ac:dyDescent="0.3"/>
    <row r="988" ht="18" customHeight="1" x14ac:dyDescent="0.3"/>
    <row r="989" ht="18" customHeight="1" x14ac:dyDescent="0.3"/>
    <row r="990" ht="18" customHeight="1" x14ac:dyDescent="0.3"/>
    <row r="991" ht="18" customHeight="1" x14ac:dyDescent="0.3"/>
    <row r="992" ht="18" customHeight="1" x14ac:dyDescent="0.3"/>
    <row r="993" ht="18" customHeight="1" x14ac:dyDescent="0.3"/>
    <row r="994" ht="18" customHeight="1" x14ac:dyDescent="0.3"/>
    <row r="995" ht="18" customHeight="1" x14ac:dyDescent="0.3"/>
    <row r="996" ht="18" customHeight="1" x14ac:dyDescent="0.3"/>
    <row r="997" ht="18" customHeight="1" x14ac:dyDescent="0.3"/>
    <row r="998" ht="18" customHeight="1" x14ac:dyDescent="0.3"/>
    <row r="999" ht="18" customHeight="1" x14ac:dyDescent="0.3"/>
    <row r="1000" ht="18" customHeight="1" x14ac:dyDescent="0.3"/>
  </sheetData>
  <mergeCells count="1">
    <mergeCell ref="N2:R2"/>
  </mergeCells>
  <conditionalFormatting sqref="L1:L1048576">
    <cfRule type="cellIs" dxfId="56" priority="23" operator="equal">
      <formula>"Heatwave"</formula>
    </cfRule>
  </conditionalFormatting>
  <conditionalFormatting sqref="C2:L733">
    <cfRule type="expression" dxfId="55" priority="10" stopIfTrue="1">
      <formula>"$I2&lt;10"</formula>
    </cfRule>
    <cfRule type="expression" dxfId="54" priority="16" stopIfTrue="1">
      <formula>$I2&gt;35</formula>
    </cfRule>
    <cfRule type="expression" dxfId="53" priority="17">
      <formula>"$I2&gt;35"</formula>
    </cfRule>
  </conditionalFormatting>
  <conditionalFormatting sqref="L2:L733">
    <cfRule type="expression" dxfId="52" priority="15" stopIfTrue="1">
      <formula>$L2="Heavy Rain"</formula>
    </cfRule>
  </conditionalFormatting>
  <conditionalFormatting sqref="H2:H1048576">
    <cfRule type="cellIs" dxfId="51" priority="13" stopIfTrue="1" operator="greaterThan">
      <formula>20</formula>
    </cfRule>
  </conditionalFormatting>
  <conditionalFormatting sqref="H2">
    <cfRule type="cellIs" dxfId="50" priority="8" stopIfTrue="1" operator="between">
      <formula>2</formula>
      <formula>5</formula>
    </cfRule>
  </conditionalFormatting>
  <conditionalFormatting sqref="I1">
    <cfRule type="cellIs" dxfId="49" priority="7" stopIfTrue="1" operator="between">
      <formula>10</formula>
      <formula>25</formula>
    </cfRule>
  </conditionalFormatting>
  <conditionalFormatting sqref="I2:I732">
    <cfRule type="cellIs" dxfId="48" priority="6" stopIfTrue="1" operator="lessThan">
      <formula>10</formula>
    </cfRule>
  </conditionalFormatting>
  <conditionalFormatting sqref="H1:H1048576">
    <cfRule type="cellIs" dxfId="47" priority="4" operator="between">
      <formula>5.1</formula>
      <formula>20</formula>
    </cfRule>
    <cfRule type="cellIs" dxfId="46" priority="5" operator="between">
      <formula>0.1</formula>
      <formula>5</formula>
    </cfRule>
  </conditionalFormatting>
  <conditionalFormatting sqref="K2:K733">
    <cfRule type="cellIs" dxfId="45" priority="1" operator="lessThan">
      <formula>6</formula>
    </cfRule>
    <cfRule type="cellIs" dxfId="44" priority="2" operator="greaterThan">
      <formula>20</formula>
    </cfRule>
  </conditionalFormatting>
  <pageMargins left="0.7" right="0.7" top="0.75" bottom="0.75" header="0" footer="0"/>
  <pageSetup orientation="landscape" r:id="rId1"/>
  <ignoredErrors>
    <ignoredError sqref="O5:R6" formulaRange="1"/>
  </ignoredError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1000"/>
  <sheetViews>
    <sheetView workbookViewId="0">
      <selection activeCell="B2" sqref="B2"/>
    </sheetView>
  </sheetViews>
  <sheetFormatPr defaultColWidth="10.09765625" defaultRowHeight="15" customHeight="1" x14ac:dyDescent="0.3"/>
  <cols>
    <col min="1" max="1" width="13.19921875" customWidth="1"/>
    <col min="2" max="2" width="21.69921875" customWidth="1"/>
    <col min="3" max="26" width="10.69921875" customWidth="1"/>
  </cols>
  <sheetData>
    <row r="1" spans="1:2" ht="18" customHeight="1" x14ac:dyDescent="0.3">
      <c r="A1" s="1" t="s">
        <v>5</v>
      </c>
      <c r="B1" s="1" t="s">
        <v>6</v>
      </c>
    </row>
    <row r="2" spans="1:2" ht="18" customHeight="1" x14ac:dyDescent="0.3">
      <c r="A2" s="1">
        <v>86338</v>
      </c>
      <c r="B2" s="1" t="s">
        <v>7</v>
      </c>
    </row>
    <row r="3" spans="1:2" ht="18" customHeight="1" x14ac:dyDescent="0.3">
      <c r="A3" s="1">
        <v>23034</v>
      </c>
      <c r="B3" s="1" t="s">
        <v>8</v>
      </c>
    </row>
    <row r="4" spans="1:2" ht="18" customHeight="1" x14ac:dyDescent="0.3"/>
    <row r="5" spans="1:2" ht="18" customHeight="1" x14ac:dyDescent="0.3"/>
    <row r="6" spans="1:2" ht="18" customHeight="1" x14ac:dyDescent="0.3"/>
    <row r="7" spans="1:2" ht="18" customHeight="1" x14ac:dyDescent="0.3"/>
    <row r="8" spans="1:2" ht="18" customHeight="1" x14ac:dyDescent="0.3"/>
    <row r="9" spans="1:2" ht="18" customHeight="1" x14ac:dyDescent="0.3"/>
    <row r="10" spans="1:2" ht="18" customHeight="1" x14ac:dyDescent="0.3"/>
    <row r="11" spans="1:2" ht="18" customHeight="1" x14ac:dyDescent="0.3"/>
    <row r="12" spans="1:2" ht="18" customHeight="1" x14ac:dyDescent="0.3"/>
    <row r="13" spans="1:2" ht="18" customHeight="1" x14ac:dyDescent="0.3"/>
    <row r="14" spans="1:2" ht="18" customHeight="1" x14ac:dyDescent="0.3"/>
    <row r="15" spans="1:2" ht="18" customHeight="1" x14ac:dyDescent="0.3"/>
    <row r="16" spans="1:2" ht="18" customHeight="1" x14ac:dyDescent="0.3"/>
    <row r="17" ht="18" customHeight="1" x14ac:dyDescent="0.3"/>
    <row r="18" ht="18" customHeight="1" x14ac:dyDescent="0.3"/>
    <row r="19" ht="18" customHeight="1" x14ac:dyDescent="0.3"/>
    <row r="20" ht="18" customHeight="1" x14ac:dyDescent="0.3"/>
    <row r="21" ht="18" customHeight="1" x14ac:dyDescent="0.3"/>
    <row r="22" ht="18" customHeight="1" x14ac:dyDescent="0.3"/>
    <row r="23" ht="18" customHeight="1" x14ac:dyDescent="0.3"/>
    <row r="24" ht="18" customHeight="1" x14ac:dyDescent="0.3"/>
    <row r="25" ht="18" customHeight="1" x14ac:dyDescent="0.3"/>
    <row r="26" ht="18" customHeight="1" x14ac:dyDescent="0.3"/>
    <row r="27" ht="18" customHeight="1" x14ac:dyDescent="0.3"/>
    <row r="28" ht="18" customHeight="1" x14ac:dyDescent="0.3"/>
    <row r="29" ht="18" customHeight="1" x14ac:dyDescent="0.3"/>
    <row r="30" ht="18" customHeight="1" x14ac:dyDescent="0.3"/>
    <row r="31" ht="18" customHeight="1" x14ac:dyDescent="0.3"/>
    <row r="32" ht="18" customHeight="1" x14ac:dyDescent="0.3"/>
    <row r="33" ht="18" customHeight="1" x14ac:dyDescent="0.3"/>
    <row r="34" ht="18" customHeight="1" x14ac:dyDescent="0.3"/>
    <row r="35" ht="18" customHeight="1" x14ac:dyDescent="0.3"/>
    <row r="36" ht="18" customHeight="1" x14ac:dyDescent="0.3"/>
    <row r="37" ht="18" customHeight="1" x14ac:dyDescent="0.3"/>
    <row r="38" ht="18" customHeight="1" x14ac:dyDescent="0.3"/>
    <row r="39" ht="18" customHeight="1" x14ac:dyDescent="0.3"/>
    <row r="40" ht="18" customHeight="1" x14ac:dyDescent="0.3"/>
    <row r="41" ht="18" customHeight="1" x14ac:dyDescent="0.3"/>
    <row r="42" ht="18" customHeight="1" x14ac:dyDescent="0.3"/>
    <row r="43" ht="18" customHeight="1" x14ac:dyDescent="0.3"/>
    <row r="44" ht="18" customHeight="1" x14ac:dyDescent="0.3"/>
    <row r="45" ht="18" customHeight="1" x14ac:dyDescent="0.3"/>
    <row r="46" ht="18" customHeight="1" x14ac:dyDescent="0.3"/>
    <row r="47" ht="18" customHeight="1" x14ac:dyDescent="0.3"/>
    <row r="48" ht="18" customHeight="1" x14ac:dyDescent="0.3"/>
    <row r="49" ht="18" customHeight="1" x14ac:dyDescent="0.3"/>
    <row r="50" ht="18" customHeight="1" x14ac:dyDescent="0.3"/>
    <row r="51" ht="18" customHeight="1" x14ac:dyDescent="0.3"/>
    <row r="52" ht="18" customHeight="1" x14ac:dyDescent="0.3"/>
    <row r="53" ht="18" customHeight="1" x14ac:dyDescent="0.3"/>
    <row r="54" ht="18" customHeight="1" x14ac:dyDescent="0.3"/>
    <row r="55" ht="18" customHeight="1" x14ac:dyDescent="0.3"/>
    <row r="56" ht="18" customHeight="1" x14ac:dyDescent="0.3"/>
    <row r="57" ht="18" customHeight="1" x14ac:dyDescent="0.3"/>
    <row r="58" ht="18" customHeight="1" x14ac:dyDescent="0.3"/>
    <row r="59" ht="18" customHeight="1" x14ac:dyDescent="0.3"/>
    <row r="60" ht="18" customHeight="1" x14ac:dyDescent="0.3"/>
    <row r="61" ht="18" customHeight="1" x14ac:dyDescent="0.3"/>
    <row r="62" ht="18" customHeight="1" x14ac:dyDescent="0.3"/>
    <row r="63" ht="18" customHeight="1" x14ac:dyDescent="0.3"/>
    <row r="64" ht="18" customHeight="1" x14ac:dyDescent="0.3"/>
    <row r="65" ht="18" customHeight="1" x14ac:dyDescent="0.3"/>
    <row r="66" ht="18" customHeight="1" x14ac:dyDescent="0.3"/>
    <row r="67" ht="18" customHeight="1" x14ac:dyDescent="0.3"/>
    <row r="68" ht="18" customHeight="1" x14ac:dyDescent="0.3"/>
    <row r="69" ht="18" customHeight="1" x14ac:dyDescent="0.3"/>
    <row r="70" ht="18" customHeight="1" x14ac:dyDescent="0.3"/>
    <row r="71" ht="18" customHeight="1" x14ac:dyDescent="0.3"/>
    <row r="72" ht="18" customHeight="1" x14ac:dyDescent="0.3"/>
    <row r="73" ht="18" customHeight="1" x14ac:dyDescent="0.3"/>
    <row r="74" ht="18" customHeight="1" x14ac:dyDescent="0.3"/>
    <row r="75" ht="18" customHeight="1" x14ac:dyDescent="0.3"/>
    <row r="76" ht="18" customHeight="1" x14ac:dyDescent="0.3"/>
    <row r="77" ht="18" customHeight="1" x14ac:dyDescent="0.3"/>
    <row r="78" ht="18" customHeight="1" x14ac:dyDescent="0.3"/>
    <row r="79" ht="18" customHeight="1" x14ac:dyDescent="0.3"/>
    <row r="80" ht="18" customHeight="1" x14ac:dyDescent="0.3"/>
    <row r="81" ht="18" customHeight="1" x14ac:dyDescent="0.3"/>
    <row r="82" ht="18" customHeight="1" x14ac:dyDescent="0.3"/>
    <row r="83" ht="18" customHeight="1" x14ac:dyDescent="0.3"/>
    <row r="84" ht="18" customHeight="1" x14ac:dyDescent="0.3"/>
    <row r="85" ht="18" customHeight="1" x14ac:dyDescent="0.3"/>
    <row r="86" ht="18" customHeight="1" x14ac:dyDescent="0.3"/>
    <row r="87" ht="18" customHeight="1" x14ac:dyDescent="0.3"/>
    <row r="88" ht="18" customHeight="1" x14ac:dyDescent="0.3"/>
    <row r="89" ht="18" customHeight="1" x14ac:dyDescent="0.3"/>
    <row r="90" ht="18" customHeight="1" x14ac:dyDescent="0.3"/>
    <row r="91" ht="18" customHeight="1" x14ac:dyDescent="0.3"/>
    <row r="92" ht="18" customHeight="1" x14ac:dyDescent="0.3"/>
    <row r="93" ht="18" customHeight="1" x14ac:dyDescent="0.3"/>
    <row r="94" ht="18" customHeight="1" x14ac:dyDescent="0.3"/>
    <row r="95" ht="18" customHeight="1" x14ac:dyDescent="0.3"/>
    <row r="96" ht="18" customHeight="1" x14ac:dyDescent="0.3"/>
    <row r="97" ht="18" customHeight="1" x14ac:dyDescent="0.3"/>
    <row r="98" ht="18" customHeight="1" x14ac:dyDescent="0.3"/>
    <row r="99" ht="18" customHeight="1" x14ac:dyDescent="0.3"/>
    <row r="100" ht="18" customHeight="1" x14ac:dyDescent="0.3"/>
    <row r="101" ht="18" customHeight="1" x14ac:dyDescent="0.3"/>
    <row r="102" ht="18" customHeight="1" x14ac:dyDescent="0.3"/>
    <row r="103" ht="18" customHeight="1" x14ac:dyDescent="0.3"/>
    <row r="104" ht="18" customHeight="1" x14ac:dyDescent="0.3"/>
    <row r="105" ht="18" customHeight="1" x14ac:dyDescent="0.3"/>
    <row r="106" ht="18" customHeight="1" x14ac:dyDescent="0.3"/>
    <row r="107" ht="18" customHeight="1" x14ac:dyDescent="0.3"/>
    <row r="108" ht="18" customHeight="1" x14ac:dyDescent="0.3"/>
    <row r="109" ht="18" customHeight="1" x14ac:dyDescent="0.3"/>
    <row r="110" ht="18" customHeight="1" x14ac:dyDescent="0.3"/>
    <row r="111" ht="18" customHeight="1" x14ac:dyDescent="0.3"/>
    <row r="112" ht="18" customHeight="1" x14ac:dyDescent="0.3"/>
    <row r="113" ht="18" customHeight="1" x14ac:dyDescent="0.3"/>
    <row r="114" ht="18" customHeight="1" x14ac:dyDescent="0.3"/>
    <row r="115" ht="18" customHeight="1" x14ac:dyDescent="0.3"/>
    <row r="116" ht="18" customHeight="1" x14ac:dyDescent="0.3"/>
    <row r="117" ht="18" customHeight="1" x14ac:dyDescent="0.3"/>
    <row r="118" ht="18" customHeight="1" x14ac:dyDescent="0.3"/>
    <row r="119" ht="18" customHeight="1" x14ac:dyDescent="0.3"/>
    <row r="120" ht="18" customHeight="1" x14ac:dyDescent="0.3"/>
    <row r="121" ht="18" customHeight="1" x14ac:dyDescent="0.3"/>
    <row r="122" ht="18" customHeight="1" x14ac:dyDescent="0.3"/>
    <row r="123" ht="18" customHeight="1" x14ac:dyDescent="0.3"/>
    <row r="124" ht="18" customHeight="1" x14ac:dyDescent="0.3"/>
    <row r="125" ht="18" customHeight="1" x14ac:dyDescent="0.3"/>
    <row r="126" ht="18" customHeight="1" x14ac:dyDescent="0.3"/>
    <row r="127" ht="18" customHeight="1" x14ac:dyDescent="0.3"/>
    <row r="128" ht="18" customHeight="1" x14ac:dyDescent="0.3"/>
    <row r="129" ht="18" customHeight="1" x14ac:dyDescent="0.3"/>
    <row r="130" ht="18" customHeight="1" x14ac:dyDescent="0.3"/>
    <row r="131" ht="18" customHeight="1" x14ac:dyDescent="0.3"/>
    <row r="132" ht="18" customHeight="1" x14ac:dyDescent="0.3"/>
    <row r="133" ht="18" customHeight="1" x14ac:dyDescent="0.3"/>
    <row r="134" ht="18" customHeight="1" x14ac:dyDescent="0.3"/>
    <row r="135" ht="18" customHeight="1" x14ac:dyDescent="0.3"/>
    <row r="136" ht="18" customHeight="1" x14ac:dyDescent="0.3"/>
    <row r="137" ht="18" customHeight="1" x14ac:dyDescent="0.3"/>
    <row r="138" ht="18" customHeight="1" x14ac:dyDescent="0.3"/>
    <row r="139" ht="18" customHeight="1" x14ac:dyDescent="0.3"/>
    <row r="140" ht="18" customHeight="1" x14ac:dyDescent="0.3"/>
    <row r="141" ht="18" customHeight="1" x14ac:dyDescent="0.3"/>
    <row r="142" ht="18" customHeight="1" x14ac:dyDescent="0.3"/>
    <row r="143" ht="18" customHeight="1" x14ac:dyDescent="0.3"/>
    <row r="144" ht="18" customHeight="1" x14ac:dyDescent="0.3"/>
    <row r="145" ht="18" customHeight="1" x14ac:dyDescent="0.3"/>
    <row r="146" ht="18" customHeight="1" x14ac:dyDescent="0.3"/>
    <row r="147" ht="18" customHeight="1" x14ac:dyDescent="0.3"/>
    <row r="148" ht="18" customHeight="1" x14ac:dyDescent="0.3"/>
    <row r="149" ht="18" customHeight="1" x14ac:dyDescent="0.3"/>
    <row r="150" ht="18" customHeight="1" x14ac:dyDescent="0.3"/>
    <row r="151" ht="18" customHeight="1" x14ac:dyDescent="0.3"/>
    <row r="152" ht="18" customHeight="1" x14ac:dyDescent="0.3"/>
    <row r="153" ht="18" customHeight="1" x14ac:dyDescent="0.3"/>
    <row r="154" ht="18" customHeight="1" x14ac:dyDescent="0.3"/>
    <row r="155" ht="18" customHeight="1" x14ac:dyDescent="0.3"/>
    <row r="156" ht="18" customHeight="1" x14ac:dyDescent="0.3"/>
    <row r="157" ht="18" customHeight="1" x14ac:dyDescent="0.3"/>
    <row r="158" ht="18" customHeight="1" x14ac:dyDescent="0.3"/>
    <row r="159" ht="18" customHeight="1" x14ac:dyDescent="0.3"/>
    <row r="160" ht="18" customHeight="1" x14ac:dyDescent="0.3"/>
    <row r="161" ht="18" customHeight="1" x14ac:dyDescent="0.3"/>
    <row r="162" ht="18" customHeight="1" x14ac:dyDescent="0.3"/>
    <row r="163" ht="18" customHeight="1" x14ac:dyDescent="0.3"/>
    <row r="164" ht="18" customHeight="1" x14ac:dyDescent="0.3"/>
    <row r="165" ht="18" customHeight="1" x14ac:dyDescent="0.3"/>
    <row r="166" ht="18" customHeight="1" x14ac:dyDescent="0.3"/>
    <row r="167" ht="18" customHeight="1" x14ac:dyDescent="0.3"/>
    <row r="168" ht="18" customHeight="1" x14ac:dyDescent="0.3"/>
    <row r="169" ht="18" customHeight="1" x14ac:dyDescent="0.3"/>
    <row r="170" ht="18" customHeight="1" x14ac:dyDescent="0.3"/>
    <row r="171" ht="18" customHeight="1" x14ac:dyDescent="0.3"/>
    <row r="172" ht="18" customHeight="1" x14ac:dyDescent="0.3"/>
    <row r="173" ht="18" customHeight="1" x14ac:dyDescent="0.3"/>
    <row r="174" ht="18" customHeight="1" x14ac:dyDescent="0.3"/>
    <row r="175" ht="18" customHeight="1" x14ac:dyDescent="0.3"/>
    <row r="176" ht="18" customHeight="1" x14ac:dyDescent="0.3"/>
    <row r="177" ht="18" customHeight="1" x14ac:dyDescent="0.3"/>
    <row r="178" ht="18" customHeight="1" x14ac:dyDescent="0.3"/>
    <row r="179" ht="18" customHeight="1" x14ac:dyDescent="0.3"/>
    <row r="180" ht="18" customHeight="1" x14ac:dyDescent="0.3"/>
    <row r="181" ht="18" customHeight="1" x14ac:dyDescent="0.3"/>
    <row r="182" ht="18" customHeight="1" x14ac:dyDescent="0.3"/>
    <row r="183" ht="18" customHeight="1" x14ac:dyDescent="0.3"/>
    <row r="184" ht="18" customHeight="1" x14ac:dyDescent="0.3"/>
    <row r="185" ht="18" customHeight="1" x14ac:dyDescent="0.3"/>
    <row r="186" ht="18" customHeight="1" x14ac:dyDescent="0.3"/>
    <row r="187" ht="18" customHeight="1" x14ac:dyDescent="0.3"/>
    <row r="188" ht="18" customHeight="1" x14ac:dyDescent="0.3"/>
    <row r="189" ht="18" customHeight="1" x14ac:dyDescent="0.3"/>
    <row r="190" ht="18" customHeight="1" x14ac:dyDescent="0.3"/>
    <row r="191" ht="18" customHeight="1" x14ac:dyDescent="0.3"/>
    <row r="192" ht="18" customHeight="1" x14ac:dyDescent="0.3"/>
    <row r="193" ht="18" customHeight="1" x14ac:dyDescent="0.3"/>
    <row r="194" ht="18" customHeight="1" x14ac:dyDescent="0.3"/>
    <row r="195" ht="18" customHeight="1" x14ac:dyDescent="0.3"/>
    <row r="196" ht="18" customHeight="1" x14ac:dyDescent="0.3"/>
    <row r="197" ht="18" customHeight="1" x14ac:dyDescent="0.3"/>
    <row r="198" ht="18" customHeight="1" x14ac:dyDescent="0.3"/>
    <row r="199" ht="18" customHeight="1" x14ac:dyDescent="0.3"/>
    <row r="200" ht="18" customHeight="1" x14ac:dyDescent="0.3"/>
    <row r="201" ht="18" customHeight="1" x14ac:dyDescent="0.3"/>
    <row r="202" ht="18" customHeight="1" x14ac:dyDescent="0.3"/>
    <row r="203" ht="18" customHeight="1" x14ac:dyDescent="0.3"/>
    <row r="204" ht="18" customHeight="1" x14ac:dyDescent="0.3"/>
    <row r="205" ht="18" customHeight="1" x14ac:dyDescent="0.3"/>
    <row r="206" ht="18" customHeight="1" x14ac:dyDescent="0.3"/>
    <row r="207" ht="18" customHeight="1" x14ac:dyDescent="0.3"/>
    <row r="208" ht="18" customHeight="1" x14ac:dyDescent="0.3"/>
    <row r="209" ht="18" customHeight="1" x14ac:dyDescent="0.3"/>
    <row r="210" ht="18" customHeight="1" x14ac:dyDescent="0.3"/>
    <row r="211" ht="18" customHeight="1" x14ac:dyDescent="0.3"/>
    <row r="212" ht="18" customHeight="1" x14ac:dyDescent="0.3"/>
    <row r="213" ht="18" customHeight="1" x14ac:dyDescent="0.3"/>
    <row r="214" ht="18" customHeight="1" x14ac:dyDescent="0.3"/>
    <row r="215" ht="18" customHeight="1" x14ac:dyDescent="0.3"/>
    <row r="216" ht="18" customHeight="1" x14ac:dyDescent="0.3"/>
    <row r="217" ht="18" customHeight="1" x14ac:dyDescent="0.3"/>
    <row r="218" ht="18" customHeight="1" x14ac:dyDescent="0.3"/>
    <row r="219" ht="18" customHeight="1" x14ac:dyDescent="0.3"/>
    <row r="220" ht="18" customHeight="1" x14ac:dyDescent="0.3"/>
    <row r="221" ht="18" customHeight="1" x14ac:dyDescent="0.3"/>
    <row r="222" ht="18" customHeight="1" x14ac:dyDescent="0.3"/>
    <row r="223" ht="18" customHeight="1" x14ac:dyDescent="0.3"/>
    <row r="224" ht="18" customHeight="1" x14ac:dyDescent="0.3"/>
    <row r="225" ht="18" customHeight="1" x14ac:dyDescent="0.3"/>
    <row r="226" ht="18" customHeight="1" x14ac:dyDescent="0.3"/>
    <row r="227" ht="18" customHeight="1" x14ac:dyDescent="0.3"/>
    <row r="228" ht="18" customHeight="1" x14ac:dyDescent="0.3"/>
    <row r="229" ht="18" customHeight="1" x14ac:dyDescent="0.3"/>
    <row r="230" ht="18" customHeight="1" x14ac:dyDescent="0.3"/>
    <row r="231" ht="18" customHeight="1" x14ac:dyDescent="0.3"/>
    <row r="232" ht="18" customHeight="1" x14ac:dyDescent="0.3"/>
    <row r="233" ht="18" customHeight="1" x14ac:dyDescent="0.3"/>
    <row r="234" ht="18" customHeight="1" x14ac:dyDescent="0.3"/>
    <row r="235" ht="18" customHeight="1" x14ac:dyDescent="0.3"/>
    <row r="236" ht="18" customHeight="1" x14ac:dyDescent="0.3"/>
    <row r="237" ht="18" customHeight="1" x14ac:dyDescent="0.3"/>
    <row r="238" ht="18" customHeight="1" x14ac:dyDescent="0.3"/>
    <row r="239" ht="18" customHeight="1" x14ac:dyDescent="0.3"/>
    <row r="240" ht="18" customHeight="1" x14ac:dyDescent="0.3"/>
    <row r="241" ht="18" customHeight="1" x14ac:dyDescent="0.3"/>
    <row r="242" ht="18" customHeight="1" x14ac:dyDescent="0.3"/>
    <row r="243" ht="18" customHeight="1" x14ac:dyDescent="0.3"/>
    <row r="244" ht="18" customHeight="1" x14ac:dyDescent="0.3"/>
    <row r="245" ht="18" customHeight="1" x14ac:dyDescent="0.3"/>
    <row r="246" ht="18" customHeight="1" x14ac:dyDescent="0.3"/>
    <row r="247" ht="18" customHeight="1" x14ac:dyDescent="0.3"/>
    <row r="248" ht="18" customHeight="1" x14ac:dyDescent="0.3"/>
    <row r="249" ht="18" customHeight="1" x14ac:dyDescent="0.3"/>
    <row r="250" ht="18" customHeight="1" x14ac:dyDescent="0.3"/>
    <row r="251" ht="18" customHeight="1" x14ac:dyDescent="0.3"/>
    <row r="252" ht="18" customHeight="1" x14ac:dyDescent="0.3"/>
    <row r="253" ht="18" customHeight="1" x14ac:dyDescent="0.3"/>
    <row r="254" ht="18" customHeight="1" x14ac:dyDescent="0.3"/>
    <row r="255" ht="18" customHeight="1" x14ac:dyDescent="0.3"/>
    <row r="256" ht="18" customHeight="1" x14ac:dyDescent="0.3"/>
    <row r="257" ht="18" customHeight="1" x14ac:dyDescent="0.3"/>
    <row r="258" ht="18" customHeight="1" x14ac:dyDescent="0.3"/>
    <row r="259" ht="18" customHeight="1" x14ac:dyDescent="0.3"/>
    <row r="260" ht="18" customHeight="1" x14ac:dyDescent="0.3"/>
    <row r="261" ht="18" customHeight="1" x14ac:dyDescent="0.3"/>
    <row r="262" ht="18" customHeight="1" x14ac:dyDescent="0.3"/>
    <row r="263" ht="18" customHeight="1" x14ac:dyDescent="0.3"/>
    <row r="264" ht="18" customHeight="1" x14ac:dyDescent="0.3"/>
    <row r="265" ht="18" customHeight="1" x14ac:dyDescent="0.3"/>
    <row r="266" ht="18" customHeight="1" x14ac:dyDescent="0.3"/>
    <row r="267" ht="18" customHeight="1" x14ac:dyDescent="0.3"/>
    <row r="268" ht="18" customHeight="1" x14ac:dyDescent="0.3"/>
    <row r="269" ht="18" customHeight="1" x14ac:dyDescent="0.3"/>
    <row r="270" ht="18" customHeight="1" x14ac:dyDescent="0.3"/>
    <row r="271" ht="18" customHeight="1" x14ac:dyDescent="0.3"/>
    <row r="272" ht="18" customHeight="1" x14ac:dyDescent="0.3"/>
    <row r="273" ht="18" customHeight="1" x14ac:dyDescent="0.3"/>
    <row r="274" ht="18" customHeight="1" x14ac:dyDescent="0.3"/>
    <row r="275" ht="18" customHeight="1" x14ac:dyDescent="0.3"/>
    <row r="276" ht="18" customHeight="1" x14ac:dyDescent="0.3"/>
    <row r="277" ht="18" customHeight="1" x14ac:dyDescent="0.3"/>
    <row r="278" ht="18" customHeight="1" x14ac:dyDescent="0.3"/>
    <row r="279" ht="18" customHeight="1" x14ac:dyDescent="0.3"/>
    <row r="280" ht="18" customHeight="1" x14ac:dyDescent="0.3"/>
    <row r="281" ht="18" customHeight="1" x14ac:dyDescent="0.3"/>
    <row r="282" ht="18" customHeight="1" x14ac:dyDescent="0.3"/>
    <row r="283" ht="18" customHeight="1" x14ac:dyDescent="0.3"/>
    <row r="284" ht="18" customHeight="1" x14ac:dyDescent="0.3"/>
    <row r="285" ht="18" customHeight="1" x14ac:dyDescent="0.3"/>
    <row r="286" ht="18" customHeight="1" x14ac:dyDescent="0.3"/>
    <row r="287" ht="18" customHeight="1" x14ac:dyDescent="0.3"/>
    <row r="288" ht="18" customHeight="1" x14ac:dyDescent="0.3"/>
    <row r="289" ht="18" customHeight="1" x14ac:dyDescent="0.3"/>
    <row r="290" ht="18" customHeight="1" x14ac:dyDescent="0.3"/>
    <row r="291" ht="18" customHeight="1" x14ac:dyDescent="0.3"/>
    <row r="292" ht="18" customHeight="1" x14ac:dyDescent="0.3"/>
    <row r="293" ht="18" customHeight="1" x14ac:dyDescent="0.3"/>
    <row r="294" ht="18" customHeight="1" x14ac:dyDescent="0.3"/>
    <row r="295" ht="18" customHeight="1" x14ac:dyDescent="0.3"/>
    <row r="296" ht="18" customHeight="1" x14ac:dyDescent="0.3"/>
    <row r="297" ht="18" customHeight="1" x14ac:dyDescent="0.3"/>
    <row r="298" ht="18" customHeight="1" x14ac:dyDescent="0.3"/>
    <row r="299" ht="18" customHeight="1" x14ac:dyDescent="0.3"/>
    <row r="300" ht="18" customHeight="1" x14ac:dyDescent="0.3"/>
    <row r="301" ht="18" customHeight="1" x14ac:dyDescent="0.3"/>
    <row r="302" ht="18" customHeight="1" x14ac:dyDescent="0.3"/>
    <row r="303" ht="18" customHeight="1" x14ac:dyDescent="0.3"/>
    <row r="304" ht="18" customHeight="1" x14ac:dyDescent="0.3"/>
    <row r="305" ht="18" customHeight="1" x14ac:dyDescent="0.3"/>
    <row r="306" ht="18" customHeight="1" x14ac:dyDescent="0.3"/>
    <row r="307" ht="18" customHeight="1" x14ac:dyDescent="0.3"/>
    <row r="308" ht="18" customHeight="1" x14ac:dyDescent="0.3"/>
    <row r="309" ht="18" customHeight="1" x14ac:dyDescent="0.3"/>
    <row r="310" ht="18" customHeight="1" x14ac:dyDescent="0.3"/>
    <row r="311" ht="18" customHeight="1" x14ac:dyDescent="0.3"/>
    <row r="312" ht="18" customHeight="1" x14ac:dyDescent="0.3"/>
    <row r="313" ht="18" customHeight="1" x14ac:dyDescent="0.3"/>
    <row r="314" ht="18" customHeight="1" x14ac:dyDescent="0.3"/>
    <row r="315" ht="18" customHeight="1" x14ac:dyDescent="0.3"/>
    <row r="316" ht="18" customHeight="1" x14ac:dyDescent="0.3"/>
    <row r="317" ht="18" customHeight="1" x14ac:dyDescent="0.3"/>
    <row r="318" ht="18" customHeight="1" x14ac:dyDescent="0.3"/>
    <row r="319" ht="18" customHeight="1" x14ac:dyDescent="0.3"/>
    <row r="320" ht="18" customHeight="1" x14ac:dyDescent="0.3"/>
    <row r="321" ht="18" customHeight="1" x14ac:dyDescent="0.3"/>
    <row r="322" ht="18" customHeight="1" x14ac:dyDescent="0.3"/>
    <row r="323" ht="18" customHeight="1" x14ac:dyDescent="0.3"/>
    <row r="324" ht="18" customHeight="1" x14ac:dyDescent="0.3"/>
    <row r="325" ht="18" customHeight="1" x14ac:dyDescent="0.3"/>
    <row r="326" ht="18" customHeight="1" x14ac:dyDescent="0.3"/>
    <row r="327" ht="18" customHeight="1" x14ac:dyDescent="0.3"/>
    <row r="328" ht="18" customHeight="1" x14ac:dyDescent="0.3"/>
    <row r="329" ht="18" customHeight="1" x14ac:dyDescent="0.3"/>
    <row r="330" ht="18" customHeight="1" x14ac:dyDescent="0.3"/>
    <row r="331" ht="18" customHeight="1" x14ac:dyDescent="0.3"/>
    <row r="332" ht="18" customHeight="1" x14ac:dyDescent="0.3"/>
    <row r="333" ht="18" customHeight="1" x14ac:dyDescent="0.3"/>
    <row r="334" ht="18" customHeight="1" x14ac:dyDescent="0.3"/>
    <row r="335" ht="18" customHeight="1" x14ac:dyDescent="0.3"/>
    <row r="336" ht="18" customHeight="1" x14ac:dyDescent="0.3"/>
    <row r="337" ht="18" customHeight="1" x14ac:dyDescent="0.3"/>
    <row r="338" ht="18" customHeight="1" x14ac:dyDescent="0.3"/>
    <row r="339" ht="18" customHeight="1" x14ac:dyDescent="0.3"/>
    <row r="340" ht="18" customHeight="1" x14ac:dyDescent="0.3"/>
    <row r="341" ht="18" customHeight="1" x14ac:dyDescent="0.3"/>
    <row r="342" ht="18" customHeight="1" x14ac:dyDescent="0.3"/>
    <row r="343" ht="18" customHeight="1" x14ac:dyDescent="0.3"/>
    <row r="344" ht="18" customHeight="1" x14ac:dyDescent="0.3"/>
    <row r="345" ht="18" customHeight="1" x14ac:dyDescent="0.3"/>
    <row r="346" ht="18" customHeight="1" x14ac:dyDescent="0.3"/>
    <row r="347" ht="18" customHeight="1" x14ac:dyDescent="0.3"/>
    <row r="348" ht="18" customHeight="1" x14ac:dyDescent="0.3"/>
    <row r="349" ht="18" customHeight="1" x14ac:dyDescent="0.3"/>
    <row r="350" ht="18" customHeight="1" x14ac:dyDescent="0.3"/>
    <row r="351" ht="18" customHeight="1" x14ac:dyDescent="0.3"/>
    <row r="352" ht="18" customHeight="1" x14ac:dyDescent="0.3"/>
    <row r="353" ht="18" customHeight="1" x14ac:dyDescent="0.3"/>
    <row r="354" ht="18" customHeight="1" x14ac:dyDescent="0.3"/>
    <row r="355" ht="18" customHeight="1" x14ac:dyDescent="0.3"/>
    <row r="356" ht="18" customHeight="1" x14ac:dyDescent="0.3"/>
    <row r="357" ht="18" customHeight="1" x14ac:dyDescent="0.3"/>
    <row r="358" ht="18" customHeight="1" x14ac:dyDescent="0.3"/>
    <row r="359" ht="18" customHeight="1" x14ac:dyDescent="0.3"/>
    <row r="360" ht="18" customHeight="1" x14ac:dyDescent="0.3"/>
    <row r="361" ht="18" customHeight="1" x14ac:dyDescent="0.3"/>
    <row r="362" ht="18" customHeight="1" x14ac:dyDescent="0.3"/>
    <row r="363" ht="18" customHeight="1" x14ac:dyDescent="0.3"/>
    <row r="364" ht="18" customHeight="1" x14ac:dyDescent="0.3"/>
    <row r="365" ht="18" customHeight="1" x14ac:dyDescent="0.3"/>
    <row r="366" ht="18" customHeight="1" x14ac:dyDescent="0.3"/>
    <row r="367" ht="18" customHeight="1" x14ac:dyDescent="0.3"/>
    <row r="368" ht="18" customHeight="1" x14ac:dyDescent="0.3"/>
    <row r="369" ht="18" customHeight="1" x14ac:dyDescent="0.3"/>
    <row r="370" ht="18" customHeight="1" x14ac:dyDescent="0.3"/>
    <row r="371" ht="18" customHeight="1" x14ac:dyDescent="0.3"/>
    <row r="372" ht="18" customHeight="1" x14ac:dyDescent="0.3"/>
    <row r="373" ht="18" customHeight="1" x14ac:dyDescent="0.3"/>
    <row r="374" ht="18" customHeight="1" x14ac:dyDescent="0.3"/>
    <row r="375" ht="18" customHeight="1" x14ac:dyDescent="0.3"/>
    <row r="376" ht="18" customHeight="1" x14ac:dyDescent="0.3"/>
    <row r="377" ht="18" customHeight="1" x14ac:dyDescent="0.3"/>
    <row r="378" ht="18" customHeight="1" x14ac:dyDescent="0.3"/>
    <row r="379" ht="18" customHeight="1" x14ac:dyDescent="0.3"/>
    <row r="380" ht="18" customHeight="1" x14ac:dyDescent="0.3"/>
    <row r="381" ht="18" customHeight="1" x14ac:dyDescent="0.3"/>
    <row r="382" ht="18" customHeight="1" x14ac:dyDescent="0.3"/>
    <row r="383" ht="18" customHeight="1" x14ac:dyDescent="0.3"/>
    <row r="384" ht="18" customHeight="1" x14ac:dyDescent="0.3"/>
    <row r="385" ht="18" customHeight="1" x14ac:dyDescent="0.3"/>
    <row r="386" ht="18" customHeight="1" x14ac:dyDescent="0.3"/>
    <row r="387" ht="18" customHeight="1" x14ac:dyDescent="0.3"/>
    <row r="388" ht="18" customHeight="1" x14ac:dyDescent="0.3"/>
    <row r="389" ht="18" customHeight="1" x14ac:dyDescent="0.3"/>
    <row r="390" ht="18" customHeight="1" x14ac:dyDescent="0.3"/>
    <row r="391" ht="18" customHeight="1" x14ac:dyDescent="0.3"/>
    <row r="392" ht="18" customHeight="1" x14ac:dyDescent="0.3"/>
    <row r="393" ht="18" customHeight="1" x14ac:dyDescent="0.3"/>
    <row r="394" ht="18" customHeight="1" x14ac:dyDescent="0.3"/>
    <row r="395" ht="18" customHeight="1" x14ac:dyDescent="0.3"/>
    <row r="396" ht="18" customHeight="1" x14ac:dyDescent="0.3"/>
    <row r="397" ht="18" customHeight="1" x14ac:dyDescent="0.3"/>
    <row r="398" ht="18" customHeight="1" x14ac:dyDescent="0.3"/>
    <row r="399" ht="18" customHeight="1" x14ac:dyDescent="0.3"/>
    <row r="400" ht="18" customHeight="1" x14ac:dyDescent="0.3"/>
    <row r="401" ht="18" customHeight="1" x14ac:dyDescent="0.3"/>
    <row r="402" ht="18" customHeight="1" x14ac:dyDescent="0.3"/>
    <row r="403" ht="18" customHeight="1" x14ac:dyDescent="0.3"/>
    <row r="404" ht="18" customHeight="1" x14ac:dyDescent="0.3"/>
    <row r="405" ht="18" customHeight="1" x14ac:dyDescent="0.3"/>
    <row r="406" ht="18" customHeight="1" x14ac:dyDescent="0.3"/>
    <row r="407" ht="18" customHeight="1" x14ac:dyDescent="0.3"/>
    <row r="408" ht="18" customHeight="1" x14ac:dyDescent="0.3"/>
    <row r="409" ht="18" customHeight="1" x14ac:dyDescent="0.3"/>
    <row r="410" ht="18" customHeight="1" x14ac:dyDescent="0.3"/>
    <row r="411" ht="18" customHeight="1" x14ac:dyDescent="0.3"/>
    <row r="412" ht="18" customHeight="1" x14ac:dyDescent="0.3"/>
    <row r="413" ht="18" customHeight="1" x14ac:dyDescent="0.3"/>
    <row r="414" ht="18" customHeight="1" x14ac:dyDescent="0.3"/>
    <row r="415" ht="18" customHeight="1" x14ac:dyDescent="0.3"/>
    <row r="416" ht="18" customHeight="1" x14ac:dyDescent="0.3"/>
    <row r="417" ht="18" customHeight="1" x14ac:dyDescent="0.3"/>
    <row r="418" ht="18" customHeight="1" x14ac:dyDescent="0.3"/>
    <row r="419" ht="18" customHeight="1" x14ac:dyDescent="0.3"/>
    <row r="420" ht="18" customHeight="1" x14ac:dyDescent="0.3"/>
    <row r="421" ht="18" customHeight="1" x14ac:dyDescent="0.3"/>
    <row r="422" ht="18" customHeight="1" x14ac:dyDescent="0.3"/>
    <row r="423" ht="18" customHeight="1" x14ac:dyDescent="0.3"/>
    <row r="424" ht="18" customHeight="1" x14ac:dyDescent="0.3"/>
    <row r="425" ht="18" customHeight="1" x14ac:dyDescent="0.3"/>
    <row r="426" ht="18" customHeight="1" x14ac:dyDescent="0.3"/>
    <row r="427" ht="18" customHeight="1" x14ac:dyDescent="0.3"/>
    <row r="428" ht="18" customHeight="1" x14ac:dyDescent="0.3"/>
    <row r="429" ht="18" customHeight="1" x14ac:dyDescent="0.3"/>
    <row r="430" ht="18" customHeight="1" x14ac:dyDescent="0.3"/>
    <row r="431" ht="18" customHeight="1" x14ac:dyDescent="0.3"/>
    <row r="432" ht="18" customHeight="1" x14ac:dyDescent="0.3"/>
    <row r="433" ht="18" customHeight="1" x14ac:dyDescent="0.3"/>
    <row r="434" ht="18" customHeight="1" x14ac:dyDescent="0.3"/>
    <row r="435" ht="18" customHeight="1" x14ac:dyDescent="0.3"/>
    <row r="436" ht="18" customHeight="1" x14ac:dyDescent="0.3"/>
    <row r="437" ht="18" customHeight="1" x14ac:dyDescent="0.3"/>
    <row r="438" ht="18" customHeight="1" x14ac:dyDescent="0.3"/>
    <row r="439" ht="18" customHeight="1" x14ac:dyDescent="0.3"/>
    <row r="440" ht="18" customHeight="1" x14ac:dyDescent="0.3"/>
    <row r="441" ht="18" customHeight="1" x14ac:dyDescent="0.3"/>
    <row r="442" ht="18" customHeight="1" x14ac:dyDescent="0.3"/>
    <row r="443" ht="18" customHeight="1" x14ac:dyDescent="0.3"/>
    <row r="444" ht="18" customHeight="1" x14ac:dyDescent="0.3"/>
    <row r="445" ht="18" customHeight="1" x14ac:dyDescent="0.3"/>
    <row r="446" ht="18" customHeight="1" x14ac:dyDescent="0.3"/>
    <row r="447" ht="18" customHeight="1" x14ac:dyDescent="0.3"/>
    <row r="448" ht="18" customHeight="1" x14ac:dyDescent="0.3"/>
    <row r="449" ht="18" customHeight="1" x14ac:dyDescent="0.3"/>
    <row r="450" ht="18" customHeight="1" x14ac:dyDescent="0.3"/>
    <row r="451" ht="18" customHeight="1" x14ac:dyDescent="0.3"/>
    <row r="452" ht="18" customHeight="1" x14ac:dyDescent="0.3"/>
    <row r="453" ht="18" customHeight="1" x14ac:dyDescent="0.3"/>
    <row r="454" ht="18" customHeight="1" x14ac:dyDescent="0.3"/>
    <row r="455" ht="18" customHeight="1" x14ac:dyDescent="0.3"/>
    <row r="456" ht="18" customHeight="1" x14ac:dyDescent="0.3"/>
    <row r="457" ht="18" customHeight="1" x14ac:dyDescent="0.3"/>
    <row r="458" ht="18" customHeight="1" x14ac:dyDescent="0.3"/>
    <row r="459" ht="18" customHeight="1" x14ac:dyDescent="0.3"/>
    <row r="460" ht="18" customHeight="1" x14ac:dyDescent="0.3"/>
    <row r="461" ht="18" customHeight="1" x14ac:dyDescent="0.3"/>
    <row r="462" ht="18" customHeight="1" x14ac:dyDescent="0.3"/>
    <row r="463" ht="18" customHeight="1" x14ac:dyDescent="0.3"/>
    <row r="464" ht="18" customHeight="1" x14ac:dyDescent="0.3"/>
    <row r="465" ht="18" customHeight="1" x14ac:dyDescent="0.3"/>
    <row r="466" ht="18" customHeight="1" x14ac:dyDescent="0.3"/>
    <row r="467" ht="18" customHeight="1" x14ac:dyDescent="0.3"/>
    <row r="468" ht="18" customHeight="1" x14ac:dyDescent="0.3"/>
    <row r="469" ht="18" customHeight="1" x14ac:dyDescent="0.3"/>
    <row r="470" ht="18" customHeight="1" x14ac:dyDescent="0.3"/>
    <row r="471" ht="18" customHeight="1" x14ac:dyDescent="0.3"/>
    <row r="472" ht="18" customHeight="1" x14ac:dyDescent="0.3"/>
    <row r="473" ht="18" customHeight="1" x14ac:dyDescent="0.3"/>
    <row r="474" ht="18" customHeight="1" x14ac:dyDescent="0.3"/>
    <row r="475" ht="18" customHeight="1" x14ac:dyDescent="0.3"/>
    <row r="476" ht="18" customHeight="1" x14ac:dyDescent="0.3"/>
    <row r="477" ht="18" customHeight="1" x14ac:dyDescent="0.3"/>
    <row r="478" ht="18" customHeight="1" x14ac:dyDescent="0.3"/>
    <row r="479" ht="18" customHeight="1" x14ac:dyDescent="0.3"/>
    <row r="480" ht="18" customHeight="1" x14ac:dyDescent="0.3"/>
    <row r="481" ht="18" customHeight="1" x14ac:dyDescent="0.3"/>
    <row r="482" ht="18" customHeight="1" x14ac:dyDescent="0.3"/>
    <row r="483" ht="18" customHeight="1" x14ac:dyDescent="0.3"/>
    <row r="484" ht="18" customHeight="1" x14ac:dyDescent="0.3"/>
    <row r="485" ht="18" customHeight="1" x14ac:dyDescent="0.3"/>
    <row r="486" ht="18" customHeight="1" x14ac:dyDescent="0.3"/>
    <row r="487" ht="18" customHeight="1" x14ac:dyDescent="0.3"/>
    <row r="488" ht="18" customHeight="1" x14ac:dyDescent="0.3"/>
    <row r="489" ht="18" customHeight="1" x14ac:dyDescent="0.3"/>
    <row r="490" ht="18" customHeight="1" x14ac:dyDescent="0.3"/>
    <row r="491" ht="18" customHeight="1" x14ac:dyDescent="0.3"/>
    <row r="492" ht="18" customHeight="1" x14ac:dyDescent="0.3"/>
    <row r="493" ht="18" customHeight="1" x14ac:dyDescent="0.3"/>
    <row r="494" ht="18" customHeight="1" x14ac:dyDescent="0.3"/>
    <row r="495" ht="18" customHeight="1" x14ac:dyDescent="0.3"/>
    <row r="496" ht="18" customHeight="1" x14ac:dyDescent="0.3"/>
    <row r="497" ht="18" customHeight="1" x14ac:dyDescent="0.3"/>
    <row r="498" ht="18" customHeight="1" x14ac:dyDescent="0.3"/>
    <row r="499" ht="18" customHeight="1" x14ac:dyDescent="0.3"/>
    <row r="500" ht="18" customHeight="1" x14ac:dyDescent="0.3"/>
    <row r="501" ht="18" customHeight="1" x14ac:dyDescent="0.3"/>
    <row r="502" ht="18" customHeight="1" x14ac:dyDescent="0.3"/>
    <row r="503" ht="18" customHeight="1" x14ac:dyDescent="0.3"/>
    <row r="504" ht="18" customHeight="1" x14ac:dyDescent="0.3"/>
    <row r="505" ht="18" customHeight="1" x14ac:dyDescent="0.3"/>
    <row r="506" ht="18" customHeight="1" x14ac:dyDescent="0.3"/>
    <row r="507" ht="18" customHeight="1" x14ac:dyDescent="0.3"/>
    <row r="508" ht="18" customHeight="1" x14ac:dyDescent="0.3"/>
    <row r="509" ht="18" customHeight="1" x14ac:dyDescent="0.3"/>
    <row r="510" ht="18" customHeight="1" x14ac:dyDescent="0.3"/>
    <row r="511" ht="18" customHeight="1" x14ac:dyDescent="0.3"/>
    <row r="512" ht="18" customHeight="1" x14ac:dyDescent="0.3"/>
    <row r="513" ht="18" customHeight="1" x14ac:dyDescent="0.3"/>
    <row r="514" ht="18" customHeight="1" x14ac:dyDescent="0.3"/>
    <row r="515" ht="18" customHeight="1" x14ac:dyDescent="0.3"/>
    <row r="516" ht="18" customHeight="1" x14ac:dyDescent="0.3"/>
    <row r="517" ht="18" customHeight="1" x14ac:dyDescent="0.3"/>
    <row r="518" ht="18" customHeight="1" x14ac:dyDescent="0.3"/>
    <row r="519" ht="18" customHeight="1" x14ac:dyDescent="0.3"/>
    <row r="520" ht="18" customHeight="1" x14ac:dyDescent="0.3"/>
    <row r="521" ht="18" customHeight="1" x14ac:dyDescent="0.3"/>
    <row r="522" ht="18" customHeight="1" x14ac:dyDescent="0.3"/>
    <row r="523" ht="18" customHeight="1" x14ac:dyDescent="0.3"/>
    <row r="524" ht="18" customHeight="1" x14ac:dyDescent="0.3"/>
    <row r="525" ht="18" customHeight="1" x14ac:dyDescent="0.3"/>
    <row r="526" ht="18" customHeight="1" x14ac:dyDescent="0.3"/>
    <row r="527" ht="18" customHeight="1" x14ac:dyDescent="0.3"/>
    <row r="528" ht="18" customHeight="1" x14ac:dyDescent="0.3"/>
    <row r="529" ht="18" customHeight="1" x14ac:dyDescent="0.3"/>
    <row r="530" ht="18" customHeight="1" x14ac:dyDescent="0.3"/>
    <row r="531" ht="18" customHeight="1" x14ac:dyDescent="0.3"/>
    <row r="532" ht="18" customHeight="1" x14ac:dyDescent="0.3"/>
    <row r="533" ht="18" customHeight="1" x14ac:dyDescent="0.3"/>
    <row r="534" ht="18" customHeight="1" x14ac:dyDescent="0.3"/>
    <row r="535" ht="18" customHeight="1" x14ac:dyDescent="0.3"/>
    <row r="536" ht="18" customHeight="1" x14ac:dyDescent="0.3"/>
    <row r="537" ht="18" customHeight="1" x14ac:dyDescent="0.3"/>
    <row r="538" ht="18" customHeight="1" x14ac:dyDescent="0.3"/>
    <row r="539" ht="18" customHeight="1" x14ac:dyDescent="0.3"/>
    <row r="540" ht="18" customHeight="1" x14ac:dyDescent="0.3"/>
    <row r="541" ht="18" customHeight="1" x14ac:dyDescent="0.3"/>
    <row r="542" ht="18" customHeight="1" x14ac:dyDescent="0.3"/>
    <row r="543" ht="18" customHeight="1" x14ac:dyDescent="0.3"/>
    <row r="544" ht="18" customHeight="1" x14ac:dyDescent="0.3"/>
    <row r="545" ht="18" customHeight="1" x14ac:dyDescent="0.3"/>
    <row r="546" ht="18" customHeight="1" x14ac:dyDescent="0.3"/>
    <row r="547" ht="18" customHeight="1" x14ac:dyDescent="0.3"/>
    <row r="548" ht="18" customHeight="1" x14ac:dyDescent="0.3"/>
    <row r="549" ht="18" customHeight="1" x14ac:dyDescent="0.3"/>
    <row r="550" ht="18" customHeight="1" x14ac:dyDescent="0.3"/>
    <row r="551" ht="18" customHeight="1" x14ac:dyDescent="0.3"/>
    <row r="552" ht="18" customHeight="1" x14ac:dyDescent="0.3"/>
    <row r="553" ht="18" customHeight="1" x14ac:dyDescent="0.3"/>
    <row r="554" ht="18" customHeight="1" x14ac:dyDescent="0.3"/>
    <row r="555" ht="18" customHeight="1" x14ac:dyDescent="0.3"/>
    <row r="556" ht="18" customHeight="1" x14ac:dyDescent="0.3"/>
    <row r="557" ht="18" customHeight="1" x14ac:dyDescent="0.3"/>
    <row r="558" ht="18" customHeight="1" x14ac:dyDescent="0.3"/>
    <row r="559" ht="18" customHeight="1" x14ac:dyDescent="0.3"/>
    <row r="560" ht="18" customHeight="1" x14ac:dyDescent="0.3"/>
    <row r="561" ht="18" customHeight="1" x14ac:dyDescent="0.3"/>
    <row r="562" ht="18" customHeight="1" x14ac:dyDescent="0.3"/>
    <row r="563" ht="18" customHeight="1" x14ac:dyDescent="0.3"/>
    <row r="564" ht="18" customHeight="1" x14ac:dyDescent="0.3"/>
    <row r="565" ht="18" customHeight="1" x14ac:dyDescent="0.3"/>
    <row r="566" ht="18" customHeight="1" x14ac:dyDescent="0.3"/>
    <row r="567" ht="18" customHeight="1" x14ac:dyDescent="0.3"/>
    <row r="568" ht="18" customHeight="1" x14ac:dyDescent="0.3"/>
    <row r="569" ht="18" customHeight="1" x14ac:dyDescent="0.3"/>
    <row r="570" ht="18" customHeight="1" x14ac:dyDescent="0.3"/>
    <row r="571" ht="18" customHeight="1" x14ac:dyDescent="0.3"/>
    <row r="572" ht="18" customHeight="1" x14ac:dyDescent="0.3"/>
    <row r="573" ht="18" customHeight="1" x14ac:dyDescent="0.3"/>
    <row r="574" ht="18" customHeight="1" x14ac:dyDescent="0.3"/>
    <row r="575" ht="18" customHeight="1" x14ac:dyDescent="0.3"/>
    <row r="576" ht="18" customHeight="1" x14ac:dyDescent="0.3"/>
    <row r="577" ht="18" customHeight="1" x14ac:dyDescent="0.3"/>
    <row r="578" ht="18" customHeight="1" x14ac:dyDescent="0.3"/>
    <row r="579" ht="18" customHeight="1" x14ac:dyDescent="0.3"/>
    <row r="580" ht="18" customHeight="1" x14ac:dyDescent="0.3"/>
    <row r="581" ht="18" customHeight="1" x14ac:dyDescent="0.3"/>
    <row r="582" ht="18" customHeight="1" x14ac:dyDescent="0.3"/>
    <row r="583" ht="18" customHeight="1" x14ac:dyDescent="0.3"/>
    <row r="584" ht="18" customHeight="1" x14ac:dyDescent="0.3"/>
    <row r="585" ht="18" customHeight="1" x14ac:dyDescent="0.3"/>
    <row r="586" ht="18" customHeight="1" x14ac:dyDescent="0.3"/>
    <row r="587" ht="18" customHeight="1" x14ac:dyDescent="0.3"/>
    <row r="588" ht="18" customHeight="1" x14ac:dyDescent="0.3"/>
    <row r="589" ht="18" customHeight="1" x14ac:dyDescent="0.3"/>
    <row r="590" ht="18" customHeight="1" x14ac:dyDescent="0.3"/>
    <row r="591" ht="18" customHeight="1" x14ac:dyDescent="0.3"/>
    <row r="592" ht="18" customHeight="1" x14ac:dyDescent="0.3"/>
    <row r="593" ht="18" customHeight="1" x14ac:dyDescent="0.3"/>
    <row r="594" ht="18" customHeight="1" x14ac:dyDescent="0.3"/>
    <row r="595" ht="18" customHeight="1" x14ac:dyDescent="0.3"/>
    <row r="596" ht="18" customHeight="1" x14ac:dyDescent="0.3"/>
    <row r="597" ht="18" customHeight="1" x14ac:dyDescent="0.3"/>
    <row r="598" ht="18" customHeight="1" x14ac:dyDescent="0.3"/>
    <row r="599" ht="18" customHeight="1" x14ac:dyDescent="0.3"/>
    <row r="600" ht="18" customHeight="1" x14ac:dyDescent="0.3"/>
    <row r="601" ht="18" customHeight="1" x14ac:dyDescent="0.3"/>
    <row r="602" ht="18" customHeight="1" x14ac:dyDescent="0.3"/>
    <row r="603" ht="18" customHeight="1" x14ac:dyDescent="0.3"/>
    <row r="604" ht="18" customHeight="1" x14ac:dyDescent="0.3"/>
    <row r="605" ht="18" customHeight="1" x14ac:dyDescent="0.3"/>
    <row r="606" ht="18" customHeight="1" x14ac:dyDescent="0.3"/>
    <row r="607" ht="18" customHeight="1" x14ac:dyDescent="0.3"/>
    <row r="608" ht="18" customHeight="1" x14ac:dyDescent="0.3"/>
    <row r="609" ht="18" customHeight="1" x14ac:dyDescent="0.3"/>
    <row r="610" ht="18" customHeight="1" x14ac:dyDescent="0.3"/>
    <row r="611" ht="18" customHeight="1" x14ac:dyDescent="0.3"/>
    <row r="612" ht="18" customHeight="1" x14ac:dyDescent="0.3"/>
    <row r="613" ht="18" customHeight="1" x14ac:dyDescent="0.3"/>
    <row r="614" ht="18" customHeight="1" x14ac:dyDescent="0.3"/>
    <row r="615" ht="18" customHeight="1" x14ac:dyDescent="0.3"/>
    <row r="616" ht="18" customHeight="1" x14ac:dyDescent="0.3"/>
    <row r="617" ht="18" customHeight="1" x14ac:dyDescent="0.3"/>
    <row r="618" ht="18" customHeight="1" x14ac:dyDescent="0.3"/>
    <row r="619" ht="18" customHeight="1" x14ac:dyDescent="0.3"/>
    <row r="620" ht="18" customHeight="1" x14ac:dyDescent="0.3"/>
    <row r="621" ht="18" customHeight="1" x14ac:dyDescent="0.3"/>
    <row r="622" ht="18" customHeight="1" x14ac:dyDescent="0.3"/>
    <row r="623" ht="18" customHeight="1" x14ac:dyDescent="0.3"/>
    <row r="624" ht="18" customHeight="1" x14ac:dyDescent="0.3"/>
    <row r="625" ht="18" customHeight="1" x14ac:dyDescent="0.3"/>
    <row r="626" ht="18" customHeight="1" x14ac:dyDescent="0.3"/>
    <row r="627" ht="18" customHeight="1" x14ac:dyDescent="0.3"/>
    <row r="628" ht="18" customHeight="1" x14ac:dyDescent="0.3"/>
    <row r="629" ht="18" customHeight="1" x14ac:dyDescent="0.3"/>
    <row r="630" ht="18" customHeight="1" x14ac:dyDescent="0.3"/>
    <row r="631" ht="18" customHeight="1" x14ac:dyDescent="0.3"/>
    <row r="632" ht="18" customHeight="1" x14ac:dyDescent="0.3"/>
    <row r="633" ht="18" customHeight="1" x14ac:dyDescent="0.3"/>
    <row r="634" ht="18" customHeight="1" x14ac:dyDescent="0.3"/>
    <row r="635" ht="18" customHeight="1" x14ac:dyDescent="0.3"/>
    <row r="636" ht="18" customHeight="1" x14ac:dyDescent="0.3"/>
    <row r="637" ht="18" customHeight="1" x14ac:dyDescent="0.3"/>
    <row r="638" ht="18" customHeight="1" x14ac:dyDescent="0.3"/>
    <row r="639" ht="18" customHeight="1" x14ac:dyDescent="0.3"/>
    <row r="640" ht="18" customHeight="1" x14ac:dyDescent="0.3"/>
    <row r="641" ht="18" customHeight="1" x14ac:dyDescent="0.3"/>
    <row r="642" ht="18" customHeight="1" x14ac:dyDescent="0.3"/>
    <row r="643" ht="18" customHeight="1" x14ac:dyDescent="0.3"/>
    <row r="644" ht="18" customHeight="1" x14ac:dyDescent="0.3"/>
    <row r="645" ht="18" customHeight="1" x14ac:dyDescent="0.3"/>
    <row r="646" ht="18" customHeight="1" x14ac:dyDescent="0.3"/>
    <row r="647" ht="18" customHeight="1" x14ac:dyDescent="0.3"/>
    <row r="648" ht="18" customHeight="1" x14ac:dyDescent="0.3"/>
    <row r="649" ht="18" customHeight="1" x14ac:dyDescent="0.3"/>
    <row r="650" ht="18" customHeight="1" x14ac:dyDescent="0.3"/>
    <row r="651" ht="18" customHeight="1" x14ac:dyDescent="0.3"/>
    <row r="652" ht="18" customHeight="1" x14ac:dyDescent="0.3"/>
    <row r="653" ht="18" customHeight="1" x14ac:dyDescent="0.3"/>
    <row r="654" ht="18" customHeight="1" x14ac:dyDescent="0.3"/>
    <row r="655" ht="18" customHeight="1" x14ac:dyDescent="0.3"/>
    <row r="656" ht="18" customHeight="1" x14ac:dyDescent="0.3"/>
    <row r="657" ht="18" customHeight="1" x14ac:dyDescent="0.3"/>
    <row r="658" ht="18" customHeight="1" x14ac:dyDescent="0.3"/>
    <row r="659" ht="18" customHeight="1" x14ac:dyDescent="0.3"/>
    <row r="660" ht="18" customHeight="1" x14ac:dyDescent="0.3"/>
    <row r="661" ht="18" customHeight="1" x14ac:dyDescent="0.3"/>
    <row r="662" ht="18" customHeight="1" x14ac:dyDescent="0.3"/>
    <row r="663" ht="18" customHeight="1" x14ac:dyDescent="0.3"/>
    <row r="664" ht="18" customHeight="1" x14ac:dyDescent="0.3"/>
    <row r="665" ht="18" customHeight="1" x14ac:dyDescent="0.3"/>
    <row r="666" ht="18" customHeight="1" x14ac:dyDescent="0.3"/>
    <row r="667" ht="18" customHeight="1" x14ac:dyDescent="0.3"/>
    <row r="668" ht="18" customHeight="1" x14ac:dyDescent="0.3"/>
    <row r="669" ht="18" customHeight="1" x14ac:dyDescent="0.3"/>
    <row r="670" ht="18" customHeight="1" x14ac:dyDescent="0.3"/>
    <row r="671" ht="18" customHeight="1" x14ac:dyDescent="0.3"/>
    <row r="672" ht="18" customHeight="1" x14ac:dyDescent="0.3"/>
    <row r="673" ht="18" customHeight="1" x14ac:dyDescent="0.3"/>
    <row r="674" ht="18" customHeight="1" x14ac:dyDescent="0.3"/>
    <row r="675" ht="18" customHeight="1" x14ac:dyDescent="0.3"/>
    <row r="676" ht="18" customHeight="1" x14ac:dyDescent="0.3"/>
    <row r="677" ht="18" customHeight="1" x14ac:dyDescent="0.3"/>
    <row r="678" ht="18" customHeight="1" x14ac:dyDescent="0.3"/>
    <row r="679" ht="18" customHeight="1" x14ac:dyDescent="0.3"/>
    <row r="680" ht="18" customHeight="1" x14ac:dyDescent="0.3"/>
    <row r="681" ht="18" customHeight="1" x14ac:dyDescent="0.3"/>
    <row r="682" ht="18" customHeight="1" x14ac:dyDescent="0.3"/>
    <row r="683" ht="18" customHeight="1" x14ac:dyDescent="0.3"/>
    <row r="684" ht="18" customHeight="1" x14ac:dyDescent="0.3"/>
    <row r="685" ht="18" customHeight="1" x14ac:dyDescent="0.3"/>
    <row r="686" ht="18" customHeight="1" x14ac:dyDescent="0.3"/>
    <row r="687" ht="18" customHeight="1" x14ac:dyDescent="0.3"/>
    <row r="688" ht="18" customHeight="1" x14ac:dyDescent="0.3"/>
    <row r="689" ht="18" customHeight="1" x14ac:dyDescent="0.3"/>
    <row r="690" ht="18" customHeight="1" x14ac:dyDescent="0.3"/>
    <row r="691" ht="18" customHeight="1" x14ac:dyDescent="0.3"/>
    <row r="692" ht="18" customHeight="1" x14ac:dyDescent="0.3"/>
    <row r="693" ht="18" customHeight="1" x14ac:dyDescent="0.3"/>
    <row r="694" ht="18" customHeight="1" x14ac:dyDescent="0.3"/>
    <row r="695" ht="18" customHeight="1" x14ac:dyDescent="0.3"/>
    <row r="696" ht="18" customHeight="1" x14ac:dyDescent="0.3"/>
    <row r="697" ht="18" customHeight="1" x14ac:dyDescent="0.3"/>
    <row r="698" ht="18" customHeight="1" x14ac:dyDescent="0.3"/>
    <row r="699" ht="18" customHeight="1" x14ac:dyDescent="0.3"/>
    <row r="700" ht="18" customHeight="1" x14ac:dyDescent="0.3"/>
    <row r="701" ht="18" customHeight="1" x14ac:dyDescent="0.3"/>
    <row r="702" ht="18" customHeight="1" x14ac:dyDescent="0.3"/>
    <row r="703" ht="18" customHeight="1" x14ac:dyDescent="0.3"/>
    <row r="704" ht="18" customHeight="1" x14ac:dyDescent="0.3"/>
    <row r="705" ht="18" customHeight="1" x14ac:dyDescent="0.3"/>
    <row r="706" ht="18" customHeight="1" x14ac:dyDescent="0.3"/>
    <row r="707" ht="18" customHeight="1" x14ac:dyDescent="0.3"/>
    <row r="708" ht="18" customHeight="1" x14ac:dyDescent="0.3"/>
    <row r="709" ht="18" customHeight="1" x14ac:dyDescent="0.3"/>
    <row r="710" ht="18" customHeight="1" x14ac:dyDescent="0.3"/>
    <row r="711" ht="18" customHeight="1" x14ac:dyDescent="0.3"/>
    <row r="712" ht="18" customHeight="1" x14ac:dyDescent="0.3"/>
    <row r="713" ht="18" customHeight="1" x14ac:dyDescent="0.3"/>
    <row r="714" ht="18" customHeight="1" x14ac:dyDescent="0.3"/>
    <row r="715" ht="18" customHeight="1" x14ac:dyDescent="0.3"/>
    <row r="716" ht="18" customHeight="1" x14ac:dyDescent="0.3"/>
    <row r="717" ht="18" customHeight="1" x14ac:dyDescent="0.3"/>
    <row r="718" ht="18" customHeight="1" x14ac:dyDescent="0.3"/>
    <row r="719" ht="18" customHeight="1" x14ac:dyDescent="0.3"/>
    <row r="720" ht="18" customHeight="1" x14ac:dyDescent="0.3"/>
    <row r="721" ht="18" customHeight="1" x14ac:dyDescent="0.3"/>
    <row r="722" ht="18" customHeight="1" x14ac:dyDescent="0.3"/>
    <row r="723" ht="18" customHeight="1" x14ac:dyDescent="0.3"/>
    <row r="724" ht="18" customHeight="1" x14ac:dyDescent="0.3"/>
    <row r="725" ht="18" customHeight="1" x14ac:dyDescent="0.3"/>
    <row r="726" ht="18" customHeight="1" x14ac:dyDescent="0.3"/>
    <row r="727" ht="18" customHeight="1" x14ac:dyDescent="0.3"/>
    <row r="728" ht="18" customHeight="1" x14ac:dyDescent="0.3"/>
    <row r="729" ht="18" customHeight="1" x14ac:dyDescent="0.3"/>
    <row r="730" ht="18" customHeight="1" x14ac:dyDescent="0.3"/>
    <row r="731" ht="18" customHeight="1" x14ac:dyDescent="0.3"/>
    <row r="732" ht="18" customHeight="1" x14ac:dyDescent="0.3"/>
    <row r="733" ht="18" customHeight="1" x14ac:dyDescent="0.3"/>
    <row r="734" ht="18" customHeight="1" x14ac:dyDescent="0.3"/>
    <row r="735" ht="18" customHeight="1" x14ac:dyDescent="0.3"/>
    <row r="736" ht="18" customHeight="1" x14ac:dyDescent="0.3"/>
    <row r="737" ht="18" customHeight="1" x14ac:dyDescent="0.3"/>
    <row r="738" ht="18" customHeight="1" x14ac:dyDescent="0.3"/>
    <row r="739" ht="18" customHeight="1" x14ac:dyDescent="0.3"/>
    <row r="740" ht="18" customHeight="1" x14ac:dyDescent="0.3"/>
    <row r="741" ht="18" customHeight="1" x14ac:dyDescent="0.3"/>
    <row r="742" ht="18" customHeight="1" x14ac:dyDescent="0.3"/>
    <row r="743" ht="18" customHeight="1" x14ac:dyDescent="0.3"/>
    <row r="744" ht="18" customHeight="1" x14ac:dyDescent="0.3"/>
    <row r="745" ht="18" customHeight="1" x14ac:dyDescent="0.3"/>
    <row r="746" ht="18" customHeight="1" x14ac:dyDescent="0.3"/>
    <row r="747" ht="18" customHeight="1" x14ac:dyDescent="0.3"/>
    <row r="748" ht="18" customHeight="1" x14ac:dyDescent="0.3"/>
    <row r="749" ht="18" customHeight="1" x14ac:dyDescent="0.3"/>
    <row r="750" ht="18" customHeight="1" x14ac:dyDescent="0.3"/>
    <row r="751" ht="18" customHeight="1" x14ac:dyDescent="0.3"/>
    <row r="752" ht="18" customHeight="1" x14ac:dyDescent="0.3"/>
    <row r="753" ht="18" customHeight="1" x14ac:dyDescent="0.3"/>
    <row r="754" ht="18" customHeight="1" x14ac:dyDescent="0.3"/>
    <row r="755" ht="18" customHeight="1" x14ac:dyDescent="0.3"/>
    <row r="756" ht="18" customHeight="1" x14ac:dyDescent="0.3"/>
    <row r="757" ht="18" customHeight="1" x14ac:dyDescent="0.3"/>
    <row r="758" ht="18" customHeight="1" x14ac:dyDescent="0.3"/>
    <row r="759" ht="18" customHeight="1" x14ac:dyDescent="0.3"/>
    <row r="760" ht="18" customHeight="1" x14ac:dyDescent="0.3"/>
    <row r="761" ht="18" customHeight="1" x14ac:dyDescent="0.3"/>
    <row r="762" ht="18" customHeight="1" x14ac:dyDescent="0.3"/>
    <row r="763" ht="18" customHeight="1" x14ac:dyDescent="0.3"/>
    <row r="764" ht="18" customHeight="1" x14ac:dyDescent="0.3"/>
    <row r="765" ht="18" customHeight="1" x14ac:dyDescent="0.3"/>
    <row r="766" ht="18" customHeight="1" x14ac:dyDescent="0.3"/>
    <row r="767" ht="18" customHeight="1" x14ac:dyDescent="0.3"/>
    <row r="768" ht="18" customHeight="1" x14ac:dyDescent="0.3"/>
    <row r="769" ht="18" customHeight="1" x14ac:dyDescent="0.3"/>
    <row r="770" ht="18" customHeight="1" x14ac:dyDescent="0.3"/>
    <row r="771" ht="18" customHeight="1" x14ac:dyDescent="0.3"/>
    <row r="772" ht="18" customHeight="1" x14ac:dyDescent="0.3"/>
    <row r="773" ht="18" customHeight="1" x14ac:dyDescent="0.3"/>
    <row r="774" ht="18" customHeight="1" x14ac:dyDescent="0.3"/>
    <row r="775" ht="18" customHeight="1" x14ac:dyDescent="0.3"/>
    <row r="776" ht="18" customHeight="1" x14ac:dyDescent="0.3"/>
    <row r="777" ht="18" customHeight="1" x14ac:dyDescent="0.3"/>
    <row r="778" ht="18" customHeight="1" x14ac:dyDescent="0.3"/>
    <row r="779" ht="18" customHeight="1" x14ac:dyDescent="0.3"/>
    <row r="780" ht="18" customHeight="1" x14ac:dyDescent="0.3"/>
    <row r="781" ht="18" customHeight="1" x14ac:dyDescent="0.3"/>
    <row r="782" ht="18" customHeight="1" x14ac:dyDescent="0.3"/>
    <row r="783" ht="18" customHeight="1" x14ac:dyDescent="0.3"/>
    <row r="784" ht="18" customHeight="1" x14ac:dyDescent="0.3"/>
    <row r="785" ht="18" customHeight="1" x14ac:dyDescent="0.3"/>
    <row r="786" ht="18" customHeight="1" x14ac:dyDescent="0.3"/>
    <row r="787" ht="18" customHeight="1" x14ac:dyDescent="0.3"/>
    <row r="788" ht="18" customHeight="1" x14ac:dyDescent="0.3"/>
    <row r="789" ht="18" customHeight="1" x14ac:dyDescent="0.3"/>
    <row r="790" ht="18" customHeight="1" x14ac:dyDescent="0.3"/>
    <row r="791" ht="18" customHeight="1" x14ac:dyDescent="0.3"/>
    <row r="792" ht="18" customHeight="1" x14ac:dyDescent="0.3"/>
    <row r="793" ht="18" customHeight="1" x14ac:dyDescent="0.3"/>
    <row r="794" ht="18" customHeight="1" x14ac:dyDescent="0.3"/>
    <row r="795" ht="18" customHeight="1" x14ac:dyDescent="0.3"/>
    <row r="796" ht="18" customHeight="1" x14ac:dyDescent="0.3"/>
    <row r="797" ht="18" customHeight="1" x14ac:dyDescent="0.3"/>
    <row r="798" ht="18" customHeight="1" x14ac:dyDescent="0.3"/>
    <row r="799" ht="18" customHeight="1" x14ac:dyDescent="0.3"/>
    <row r="800" ht="18" customHeight="1" x14ac:dyDescent="0.3"/>
    <row r="801" ht="18" customHeight="1" x14ac:dyDescent="0.3"/>
    <row r="802" ht="18" customHeight="1" x14ac:dyDescent="0.3"/>
    <row r="803" ht="18" customHeight="1" x14ac:dyDescent="0.3"/>
    <row r="804" ht="18" customHeight="1" x14ac:dyDescent="0.3"/>
    <row r="805" ht="18" customHeight="1" x14ac:dyDescent="0.3"/>
    <row r="806" ht="18" customHeight="1" x14ac:dyDescent="0.3"/>
    <row r="807" ht="18" customHeight="1" x14ac:dyDescent="0.3"/>
    <row r="808" ht="18" customHeight="1" x14ac:dyDescent="0.3"/>
    <row r="809" ht="18" customHeight="1" x14ac:dyDescent="0.3"/>
    <row r="810" ht="18" customHeight="1" x14ac:dyDescent="0.3"/>
    <row r="811" ht="18" customHeight="1" x14ac:dyDescent="0.3"/>
    <row r="812" ht="18" customHeight="1" x14ac:dyDescent="0.3"/>
    <row r="813" ht="18" customHeight="1" x14ac:dyDescent="0.3"/>
    <row r="814" ht="18" customHeight="1" x14ac:dyDescent="0.3"/>
    <row r="815" ht="18" customHeight="1" x14ac:dyDescent="0.3"/>
    <row r="816" ht="18" customHeight="1" x14ac:dyDescent="0.3"/>
    <row r="817" ht="18" customHeight="1" x14ac:dyDescent="0.3"/>
    <row r="818" ht="18" customHeight="1" x14ac:dyDescent="0.3"/>
    <row r="819" ht="18" customHeight="1" x14ac:dyDescent="0.3"/>
    <row r="820" ht="18" customHeight="1" x14ac:dyDescent="0.3"/>
    <row r="821" ht="18" customHeight="1" x14ac:dyDescent="0.3"/>
    <row r="822" ht="18" customHeight="1" x14ac:dyDescent="0.3"/>
    <row r="823" ht="18" customHeight="1" x14ac:dyDescent="0.3"/>
    <row r="824" ht="18" customHeight="1" x14ac:dyDescent="0.3"/>
    <row r="825" ht="18" customHeight="1" x14ac:dyDescent="0.3"/>
    <row r="826" ht="18" customHeight="1" x14ac:dyDescent="0.3"/>
    <row r="827" ht="18" customHeight="1" x14ac:dyDescent="0.3"/>
    <row r="828" ht="18" customHeight="1" x14ac:dyDescent="0.3"/>
    <row r="829" ht="18" customHeight="1" x14ac:dyDescent="0.3"/>
    <row r="830" ht="18" customHeight="1" x14ac:dyDescent="0.3"/>
    <row r="831" ht="18" customHeight="1" x14ac:dyDescent="0.3"/>
    <row r="832" ht="18" customHeight="1" x14ac:dyDescent="0.3"/>
    <row r="833" ht="18" customHeight="1" x14ac:dyDescent="0.3"/>
    <row r="834" ht="18" customHeight="1" x14ac:dyDescent="0.3"/>
    <row r="835" ht="18" customHeight="1" x14ac:dyDescent="0.3"/>
    <row r="836" ht="18" customHeight="1" x14ac:dyDescent="0.3"/>
    <row r="837" ht="18" customHeight="1" x14ac:dyDescent="0.3"/>
    <row r="838" ht="18" customHeight="1" x14ac:dyDescent="0.3"/>
    <row r="839" ht="18" customHeight="1" x14ac:dyDescent="0.3"/>
    <row r="840" ht="18" customHeight="1" x14ac:dyDescent="0.3"/>
    <row r="841" ht="18" customHeight="1" x14ac:dyDescent="0.3"/>
    <row r="842" ht="18" customHeight="1" x14ac:dyDescent="0.3"/>
    <row r="843" ht="18" customHeight="1" x14ac:dyDescent="0.3"/>
    <row r="844" ht="18" customHeight="1" x14ac:dyDescent="0.3"/>
    <row r="845" ht="18" customHeight="1" x14ac:dyDescent="0.3"/>
    <row r="846" ht="18" customHeight="1" x14ac:dyDescent="0.3"/>
    <row r="847" ht="18" customHeight="1" x14ac:dyDescent="0.3"/>
    <row r="848" ht="18" customHeight="1" x14ac:dyDescent="0.3"/>
    <row r="849" ht="18" customHeight="1" x14ac:dyDescent="0.3"/>
    <row r="850" ht="18" customHeight="1" x14ac:dyDescent="0.3"/>
    <row r="851" ht="18" customHeight="1" x14ac:dyDescent="0.3"/>
    <row r="852" ht="18" customHeight="1" x14ac:dyDescent="0.3"/>
    <row r="853" ht="18" customHeight="1" x14ac:dyDescent="0.3"/>
    <row r="854" ht="18" customHeight="1" x14ac:dyDescent="0.3"/>
    <row r="855" ht="18" customHeight="1" x14ac:dyDescent="0.3"/>
    <row r="856" ht="18" customHeight="1" x14ac:dyDescent="0.3"/>
    <row r="857" ht="18" customHeight="1" x14ac:dyDescent="0.3"/>
    <row r="858" ht="18" customHeight="1" x14ac:dyDescent="0.3"/>
    <row r="859" ht="18" customHeight="1" x14ac:dyDescent="0.3"/>
    <row r="860" ht="18" customHeight="1" x14ac:dyDescent="0.3"/>
    <row r="861" ht="18" customHeight="1" x14ac:dyDescent="0.3"/>
    <row r="862" ht="18" customHeight="1" x14ac:dyDescent="0.3"/>
    <row r="863" ht="18" customHeight="1" x14ac:dyDescent="0.3"/>
    <row r="864" ht="18" customHeight="1" x14ac:dyDescent="0.3"/>
    <row r="865" ht="18" customHeight="1" x14ac:dyDescent="0.3"/>
    <row r="866" ht="18" customHeight="1" x14ac:dyDescent="0.3"/>
    <row r="867" ht="18" customHeight="1" x14ac:dyDescent="0.3"/>
    <row r="868" ht="18" customHeight="1" x14ac:dyDescent="0.3"/>
    <row r="869" ht="18" customHeight="1" x14ac:dyDescent="0.3"/>
    <row r="870" ht="18" customHeight="1" x14ac:dyDescent="0.3"/>
    <row r="871" ht="18" customHeight="1" x14ac:dyDescent="0.3"/>
    <row r="872" ht="18" customHeight="1" x14ac:dyDescent="0.3"/>
    <row r="873" ht="18" customHeight="1" x14ac:dyDescent="0.3"/>
    <row r="874" ht="18" customHeight="1" x14ac:dyDescent="0.3"/>
    <row r="875" ht="18" customHeight="1" x14ac:dyDescent="0.3"/>
    <row r="876" ht="18" customHeight="1" x14ac:dyDescent="0.3"/>
    <row r="877" ht="18" customHeight="1" x14ac:dyDescent="0.3"/>
    <row r="878" ht="18" customHeight="1" x14ac:dyDescent="0.3"/>
    <row r="879" ht="18" customHeight="1" x14ac:dyDescent="0.3"/>
    <row r="880" ht="18" customHeight="1" x14ac:dyDescent="0.3"/>
    <row r="881" ht="18" customHeight="1" x14ac:dyDescent="0.3"/>
    <row r="882" ht="18" customHeight="1" x14ac:dyDescent="0.3"/>
    <row r="883" ht="18" customHeight="1" x14ac:dyDescent="0.3"/>
    <row r="884" ht="18" customHeight="1" x14ac:dyDescent="0.3"/>
    <row r="885" ht="18" customHeight="1" x14ac:dyDescent="0.3"/>
    <row r="886" ht="18" customHeight="1" x14ac:dyDescent="0.3"/>
    <row r="887" ht="18" customHeight="1" x14ac:dyDescent="0.3"/>
    <row r="888" ht="18" customHeight="1" x14ac:dyDescent="0.3"/>
    <row r="889" ht="18" customHeight="1" x14ac:dyDescent="0.3"/>
    <row r="890" ht="18" customHeight="1" x14ac:dyDescent="0.3"/>
    <row r="891" ht="18" customHeight="1" x14ac:dyDescent="0.3"/>
    <row r="892" ht="18" customHeight="1" x14ac:dyDescent="0.3"/>
    <row r="893" ht="18" customHeight="1" x14ac:dyDescent="0.3"/>
    <row r="894" ht="18" customHeight="1" x14ac:dyDescent="0.3"/>
    <row r="895" ht="18" customHeight="1" x14ac:dyDescent="0.3"/>
    <row r="896" ht="18" customHeight="1" x14ac:dyDescent="0.3"/>
    <row r="897" ht="18" customHeight="1" x14ac:dyDescent="0.3"/>
    <row r="898" ht="18" customHeight="1" x14ac:dyDescent="0.3"/>
    <row r="899" ht="18" customHeight="1" x14ac:dyDescent="0.3"/>
    <row r="900" ht="18" customHeight="1" x14ac:dyDescent="0.3"/>
    <row r="901" ht="18" customHeight="1" x14ac:dyDescent="0.3"/>
    <row r="902" ht="18" customHeight="1" x14ac:dyDescent="0.3"/>
    <row r="903" ht="18" customHeight="1" x14ac:dyDescent="0.3"/>
    <row r="904" ht="18" customHeight="1" x14ac:dyDescent="0.3"/>
    <row r="905" ht="18" customHeight="1" x14ac:dyDescent="0.3"/>
    <row r="906" ht="18" customHeight="1" x14ac:dyDescent="0.3"/>
    <row r="907" ht="18" customHeight="1" x14ac:dyDescent="0.3"/>
    <row r="908" ht="18" customHeight="1" x14ac:dyDescent="0.3"/>
    <row r="909" ht="18" customHeight="1" x14ac:dyDescent="0.3"/>
    <row r="910" ht="18" customHeight="1" x14ac:dyDescent="0.3"/>
    <row r="911" ht="18" customHeight="1" x14ac:dyDescent="0.3"/>
    <row r="912" ht="18" customHeight="1" x14ac:dyDescent="0.3"/>
    <row r="913" ht="18" customHeight="1" x14ac:dyDescent="0.3"/>
    <row r="914" ht="18" customHeight="1" x14ac:dyDescent="0.3"/>
    <row r="915" ht="18" customHeight="1" x14ac:dyDescent="0.3"/>
    <row r="916" ht="18" customHeight="1" x14ac:dyDescent="0.3"/>
    <row r="917" ht="18" customHeight="1" x14ac:dyDescent="0.3"/>
    <row r="918" ht="18" customHeight="1" x14ac:dyDescent="0.3"/>
    <row r="919" ht="18" customHeight="1" x14ac:dyDescent="0.3"/>
    <row r="920" ht="18" customHeight="1" x14ac:dyDescent="0.3"/>
    <row r="921" ht="18" customHeight="1" x14ac:dyDescent="0.3"/>
    <row r="922" ht="18" customHeight="1" x14ac:dyDescent="0.3"/>
    <row r="923" ht="18" customHeight="1" x14ac:dyDescent="0.3"/>
    <row r="924" ht="18" customHeight="1" x14ac:dyDescent="0.3"/>
    <row r="925" ht="18" customHeight="1" x14ac:dyDescent="0.3"/>
    <row r="926" ht="18" customHeight="1" x14ac:dyDescent="0.3"/>
    <row r="927" ht="18" customHeight="1" x14ac:dyDescent="0.3"/>
    <row r="928" ht="18" customHeight="1" x14ac:dyDescent="0.3"/>
    <row r="929" ht="18" customHeight="1" x14ac:dyDescent="0.3"/>
    <row r="930" ht="18" customHeight="1" x14ac:dyDescent="0.3"/>
    <row r="931" ht="18" customHeight="1" x14ac:dyDescent="0.3"/>
    <row r="932" ht="18" customHeight="1" x14ac:dyDescent="0.3"/>
    <row r="933" ht="18" customHeight="1" x14ac:dyDescent="0.3"/>
    <row r="934" ht="18" customHeight="1" x14ac:dyDescent="0.3"/>
    <row r="935" ht="18" customHeight="1" x14ac:dyDescent="0.3"/>
    <row r="936" ht="18" customHeight="1" x14ac:dyDescent="0.3"/>
    <row r="937" ht="18" customHeight="1" x14ac:dyDescent="0.3"/>
    <row r="938" ht="18" customHeight="1" x14ac:dyDescent="0.3"/>
    <row r="939" ht="18" customHeight="1" x14ac:dyDescent="0.3"/>
    <row r="940" ht="18" customHeight="1" x14ac:dyDescent="0.3"/>
    <row r="941" ht="18" customHeight="1" x14ac:dyDescent="0.3"/>
    <row r="942" ht="18" customHeight="1" x14ac:dyDescent="0.3"/>
    <row r="943" ht="18" customHeight="1" x14ac:dyDescent="0.3"/>
    <row r="944" ht="18" customHeight="1" x14ac:dyDescent="0.3"/>
    <row r="945" ht="18" customHeight="1" x14ac:dyDescent="0.3"/>
    <row r="946" ht="18" customHeight="1" x14ac:dyDescent="0.3"/>
    <row r="947" ht="18" customHeight="1" x14ac:dyDescent="0.3"/>
    <row r="948" ht="18" customHeight="1" x14ac:dyDescent="0.3"/>
    <row r="949" ht="18" customHeight="1" x14ac:dyDescent="0.3"/>
    <row r="950" ht="18" customHeight="1" x14ac:dyDescent="0.3"/>
    <row r="951" ht="18" customHeight="1" x14ac:dyDescent="0.3"/>
    <row r="952" ht="18" customHeight="1" x14ac:dyDescent="0.3"/>
    <row r="953" ht="18" customHeight="1" x14ac:dyDescent="0.3"/>
    <row r="954" ht="18" customHeight="1" x14ac:dyDescent="0.3"/>
    <row r="955" ht="18" customHeight="1" x14ac:dyDescent="0.3"/>
    <row r="956" ht="18" customHeight="1" x14ac:dyDescent="0.3"/>
    <row r="957" ht="18" customHeight="1" x14ac:dyDescent="0.3"/>
    <row r="958" ht="18" customHeight="1" x14ac:dyDescent="0.3"/>
    <row r="959" ht="18" customHeight="1" x14ac:dyDescent="0.3"/>
    <row r="960" ht="18" customHeight="1" x14ac:dyDescent="0.3"/>
    <row r="961" ht="18" customHeight="1" x14ac:dyDescent="0.3"/>
    <row r="962" ht="18" customHeight="1" x14ac:dyDescent="0.3"/>
    <row r="963" ht="18" customHeight="1" x14ac:dyDescent="0.3"/>
    <row r="964" ht="18" customHeight="1" x14ac:dyDescent="0.3"/>
    <row r="965" ht="18" customHeight="1" x14ac:dyDescent="0.3"/>
    <row r="966" ht="18" customHeight="1" x14ac:dyDescent="0.3"/>
    <row r="967" ht="18" customHeight="1" x14ac:dyDescent="0.3"/>
    <row r="968" ht="18" customHeight="1" x14ac:dyDescent="0.3"/>
    <row r="969" ht="18" customHeight="1" x14ac:dyDescent="0.3"/>
    <row r="970" ht="18" customHeight="1" x14ac:dyDescent="0.3"/>
    <row r="971" ht="18" customHeight="1" x14ac:dyDescent="0.3"/>
    <row r="972" ht="18" customHeight="1" x14ac:dyDescent="0.3"/>
    <row r="973" ht="18" customHeight="1" x14ac:dyDescent="0.3"/>
    <row r="974" ht="18" customHeight="1" x14ac:dyDescent="0.3"/>
    <row r="975" ht="18" customHeight="1" x14ac:dyDescent="0.3"/>
    <row r="976" ht="18" customHeight="1" x14ac:dyDescent="0.3"/>
    <row r="977" ht="18" customHeight="1" x14ac:dyDescent="0.3"/>
    <row r="978" ht="18" customHeight="1" x14ac:dyDescent="0.3"/>
    <row r="979" ht="18" customHeight="1" x14ac:dyDescent="0.3"/>
    <row r="980" ht="18" customHeight="1" x14ac:dyDescent="0.3"/>
    <row r="981" ht="18" customHeight="1" x14ac:dyDescent="0.3"/>
    <row r="982" ht="18" customHeight="1" x14ac:dyDescent="0.3"/>
    <row r="983" ht="18" customHeight="1" x14ac:dyDescent="0.3"/>
    <row r="984" ht="18" customHeight="1" x14ac:dyDescent="0.3"/>
    <row r="985" ht="18" customHeight="1" x14ac:dyDescent="0.3"/>
    <row r="986" ht="18" customHeight="1" x14ac:dyDescent="0.3"/>
    <row r="987" ht="18" customHeight="1" x14ac:dyDescent="0.3"/>
    <row r="988" ht="18" customHeight="1" x14ac:dyDescent="0.3"/>
    <row r="989" ht="18" customHeight="1" x14ac:dyDescent="0.3"/>
    <row r="990" ht="18" customHeight="1" x14ac:dyDescent="0.3"/>
    <row r="991" ht="18" customHeight="1" x14ac:dyDescent="0.3"/>
    <row r="992" ht="18" customHeight="1" x14ac:dyDescent="0.3"/>
    <row r="993" ht="18" customHeight="1" x14ac:dyDescent="0.3"/>
    <row r="994" ht="18" customHeight="1" x14ac:dyDescent="0.3"/>
    <row r="995" ht="18" customHeight="1" x14ac:dyDescent="0.3"/>
    <row r="996" ht="18" customHeight="1" x14ac:dyDescent="0.3"/>
    <row r="997" ht="18" customHeight="1" x14ac:dyDescent="0.3"/>
    <row r="998" ht="18" customHeight="1" x14ac:dyDescent="0.3"/>
    <row r="999" ht="18" customHeight="1" x14ac:dyDescent="0.3"/>
    <row r="1000" ht="18" customHeight="1" x14ac:dyDescent="0.3"/>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3994E-CF80-493C-BD95-DC1C1779AD50}">
  <dimension ref="A3:C5"/>
  <sheetViews>
    <sheetView workbookViewId="0">
      <selection activeCell="E10" sqref="E10"/>
    </sheetView>
  </sheetViews>
  <sheetFormatPr defaultRowHeight="18.75" x14ac:dyDescent="0.3"/>
  <cols>
    <col min="1" max="1" width="10.09765625" bestFit="1" customWidth="1"/>
  </cols>
  <sheetData>
    <row r="3" spans="1:3" x14ac:dyDescent="0.3">
      <c r="A3" s="8" t="s">
        <v>3</v>
      </c>
    </row>
    <row r="4" spans="1:3" x14ac:dyDescent="0.3">
      <c r="A4" s="10" t="s">
        <v>42</v>
      </c>
      <c r="C4" s="1"/>
    </row>
    <row r="5" spans="1:3" x14ac:dyDescent="0.3">
      <c r="A5" s="10" t="s">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CDE44-894D-44A9-AFB1-C3BBB7F73155}">
  <dimension ref="A3:A5"/>
  <sheetViews>
    <sheetView workbookViewId="0">
      <selection activeCell="D17" sqref="D17"/>
    </sheetView>
  </sheetViews>
  <sheetFormatPr defaultRowHeight="18.75" x14ac:dyDescent="0.3"/>
  <cols>
    <col min="1" max="1" width="13.8984375" bestFit="1" customWidth="1"/>
  </cols>
  <sheetData>
    <row r="3" spans="1:1" x14ac:dyDescent="0.3">
      <c r="A3" s="8" t="s">
        <v>33</v>
      </c>
    </row>
    <row r="4" spans="1:1" x14ac:dyDescent="0.3">
      <c r="A4" s="10" t="s">
        <v>8</v>
      </c>
    </row>
    <row r="5" spans="1:1" x14ac:dyDescent="0.3">
      <c r="A5" s="10" t="s">
        <v>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07FE8-67CE-4584-ABF9-9AF8986B76AC}">
  <sheetPr codeName="Sheet5"/>
  <dimension ref="A4:J6"/>
  <sheetViews>
    <sheetView workbookViewId="0">
      <selection activeCell="J6" sqref="J6"/>
    </sheetView>
  </sheetViews>
  <sheetFormatPr defaultRowHeight="18.75" x14ac:dyDescent="0.3"/>
  <cols>
    <col min="1" max="1" width="10.09765625" bestFit="1" customWidth="1"/>
    <col min="2" max="2" width="9.19921875" bestFit="1" customWidth="1"/>
    <col min="3" max="3" width="8.8984375" bestFit="1" customWidth="1"/>
    <col min="4" max="4" width="11.296875" bestFit="1" customWidth="1"/>
    <col min="5" max="5" width="15" bestFit="1" customWidth="1"/>
    <col min="6" max="6" width="4.19921875" bestFit="1" customWidth="1"/>
    <col min="7" max="7" width="8.59765625" customWidth="1"/>
    <col min="8" max="8" width="3.796875" bestFit="1" customWidth="1"/>
    <col min="9" max="9" width="6.19921875" bestFit="1" customWidth="1"/>
    <col min="10" max="10" width="19.796875" customWidth="1"/>
    <col min="11" max="11" width="7.19921875" bestFit="1" customWidth="1"/>
    <col min="12" max="12" width="9.19921875" bestFit="1" customWidth="1"/>
    <col min="13" max="13" width="9.09765625" bestFit="1" customWidth="1"/>
    <col min="14" max="14" width="10" bestFit="1" customWidth="1"/>
  </cols>
  <sheetData>
    <row r="4" spans="1:10" x14ac:dyDescent="0.3">
      <c r="A4" s="8" t="s">
        <v>3</v>
      </c>
      <c r="B4" t="s">
        <v>22</v>
      </c>
      <c r="C4" t="s">
        <v>23</v>
      </c>
      <c r="D4" t="s">
        <v>1</v>
      </c>
      <c r="E4" s="7" t="s">
        <v>27</v>
      </c>
    </row>
    <row r="5" spans="1:10" x14ac:dyDescent="0.3">
      <c r="A5" s="51" t="s">
        <v>42</v>
      </c>
      <c r="B5" s="12">
        <v>33</v>
      </c>
      <c r="C5" s="12">
        <v>12.2</v>
      </c>
      <c r="D5" s="7">
        <v>32.800000000000004</v>
      </c>
      <c r="E5" s="7">
        <v>18</v>
      </c>
    </row>
    <row r="6" spans="1:10" x14ac:dyDescent="0.3">
      <c r="A6" s="10" t="s">
        <v>11</v>
      </c>
      <c r="B6" s="12">
        <v>33</v>
      </c>
      <c r="C6" s="12">
        <v>12.2</v>
      </c>
      <c r="D6" s="12">
        <v>32.800000000000004</v>
      </c>
      <c r="E6" s="7">
        <v>18</v>
      </c>
      <c r="G6" s="1" t="str">
        <f>HelperPivot!A4</f>
        <v>February</v>
      </c>
      <c r="J6" t="str">
        <f>PivotStation!A4</f>
        <v xml:space="preserve">Adelaide Airport </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C5483-177C-4A2F-87AF-47FB06E410D3}">
  <sheetPr codeName="Sheet7"/>
  <dimension ref="A4:C63"/>
  <sheetViews>
    <sheetView topLeftCell="A61" workbookViewId="0">
      <selection activeCell="A5" sqref="A5"/>
    </sheetView>
  </sheetViews>
  <sheetFormatPr defaultRowHeight="18.75" x14ac:dyDescent="0.3"/>
  <cols>
    <col min="1" max="1" width="10.09765625" bestFit="1" customWidth="1"/>
    <col min="2" max="2" width="14.09765625" bestFit="1" customWidth="1"/>
    <col min="3" max="3" width="19.296875" bestFit="1" customWidth="1"/>
    <col min="4" max="4" width="16" bestFit="1" customWidth="1"/>
    <col min="5" max="5" width="14.09765625" bestFit="1" customWidth="1"/>
  </cols>
  <sheetData>
    <row r="4" spans="1:3" x14ac:dyDescent="0.3">
      <c r="A4" s="8" t="s">
        <v>0</v>
      </c>
      <c r="B4" t="s">
        <v>12</v>
      </c>
      <c r="C4" t="s">
        <v>26</v>
      </c>
    </row>
    <row r="5" spans="1:3" x14ac:dyDescent="0.3">
      <c r="A5" s="9" t="s">
        <v>43</v>
      </c>
      <c r="B5" s="12">
        <v>0.80000000000000071</v>
      </c>
      <c r="C5" s="12">
        <v>29.6</v>
      </c>
    </row>
    <row r="6" spans="1:3" x14ac:dyDescent="0.3">
      <c r="A6" s="11" t="s">
        <v>44</v>
      </c>
      <c r="B6" s="12">
        <v>0.80000000000000071</v>
      </c>
      <c r="C6" s="12">
        <v>29.6</v>
      </c>
    </row>
    <row r="7" spans="1:3" x14ac:dyDescent="0.3">
      <c r="A7" s="9" t="s">
        <v>45</v>
      </c>
      <c r="B7" s="12">
        <v>5.0999999999999979</v>
      </c>
      <c r="C7" s="12">
        <v>1.6</v>
      </c>
    </row>
    <row r="8" spans="1:3" x14ac:dyDescent="0.3">
      <c r="A8" s="11" t="s">
        <v>44</v>
      </c>
      <c r="B8" s="12">
        <v>5.0999999999999979</v>
      </c>
      <c r="C8" s="12">
        <v>1.6</v>
      </c>
    </row>
    <row r="9" spans="1:3" x14ac:dyDescent="0.3">
      <c r="A9" s="9" t="s">
        <v>46</v>
      </c>
      <c r="B9" s="12">
        <v>6.9999999999999982</v>
      </c>
      <c r="C9" s="12">
        <v>0</v>
      </c>
    </row>
    <row r="10" spans="1:3" x14ac:dyDescent="0.3">
      <c r="A10" s="11" t="s">
        <v>44</v>
      </c>
      <c r="B10" s="12">
        <v>6.9999999999999982</v>
      </c>
      <c r="C10" s="12">
        <v>0</v>
      </c>
    </row>
    <row r="11" spans="1:3" x14ac:dyDescent="0.3">
      <c r="A11" s="9" t="s">
        <v>47</v>
      </c>
      <c r="B11" s="12">
        <v>13.3</v>
      </c>
      <c r="C11" s="12">
        <v>0</v>
      </c>
    </row>
    <row r="12" spans="1:3" x14ac:dyDescent="0.3">
      <c r="A12" s="11" t="s">
        <v>44</v>
      </c>
      <c r="B12" s="12">
        <v>13.3</v>
      </c>
      <c r="C12" s="12">
        <v>0</v>
      </c>
    </row>
    <row r="13" spans="1:3" x14ac:dyDescent="0.3">
      <c r="A13" s="9" t="s">
        <v>48</v>
      </c>
      <c r="B13" s="12">
        <v>13.6</v>
      </c>
      <c r="C13" s="12">
        <v>0</v>
      </c>
    </row>
    <row r="14" spans="1:3" x14ac:dyDescent="0.3">
      <c r="A14" s="11" t="s">
        <v>44</v>
      </c>
      <c r="B14" s="12">
        <v>13.6</v>
      </c>
      <c r="C14" s="12">
        <v>0</v>
      </c>
    </row>
    <row r="15" spans="1:3" x14ac:dyDescent="0.3">
      <c r="A15" s="9" t="s">
        <v>49</v>
      </c>
      <c r="B15" s="12">
        <v>17.399999999999999</v>
      </c>
      <c r="C15" s="12">
        <v>0</v>
      </c>
    </row>
    <row r="16" spans="1:3" x14ac:dyDescent="0.3">
      <c r="A16" s="11" t="s">
        <v>44</v>
      </c>
      <c r="B16" s="12">
        <v>17.399999999999999</v>
      </c>
      <c r="C16" s="12">
        <v>0</v>
      </c>
    </row>
    <row r="17" spans="1:3" x14ac:dyDescent="0.3">
      <c r="A17" s="9" t="s">
        <v>50</v>
      </c>
      <c r="B17" s="12">
        <v>10</v>
      </c>
      <c r="C17" s="12">
        <v>0</v>
      </c>
    </row>
    <row r="18" spans="1:3" x14ac:dyDescent="0.3">
      <c r="A18" s="11" t="s">
        <v>44</v>
      </c>
      <c r="B18" s="12">
        <v>10</v>
      </c>
      <c r="C18" s="12">
        <v>0</v>
      </c>
    </row>
    <row r="19" spans="1:3" x14ac:dyDescent="0.3">
      <c r="A19" s="9" t="s">
        <v>51</v>
      </c>
      <c r="B19" s="12">
        <v>11.5</v>
      </c>
      <c r="C19" s="12">
        <v>0.2</v>
      </c>
    </row>
    <row r="20" spans="1:3" x14ac:dyDescent="0.3">
      <c r="A20" s="11" t="s">
        <v>44</v>
      </c>
      <c r="B20" s="12">
        <v>11.5</v>
      </c>
      <c r="C20" s="12">
        <v>0.2</v>
      </c>
    </row>
    <row r="21" spans="1:3" x14ac:dyDescent="0.3">
      <c r="A21" s="9" t="s">
        <v>52</v>
      </c>
      <c r="B21" s="12">
        <v>9.5999999999999979</v>
      </c>
      <c r="C21" s="12">
        <v>0</v>
      </c>
    </row>
    <row r="22" spans="1:3" x14ac:dyDescent="0.3">
      <c r="A22" s="11" t="s">
        <v>44</v>
      </c>
      <c r="B22" s="12">
        <v>9.5999999999999979</v>
      </c>
      <c r="C22" s="12">
        <v>0</v>
      </c>
    </row>
    <row r="23" spans="1:3" x14ac:dyDescent="0.3">
      <c r="A23" s="9" t="s">
        <v>53</v>
      </c>
      <c r="B23" s="12">
        <v>8.1999999999999993</v>
      </c>
      <c r="C23" s="12">
        <v>0</v>
      </c>
    </row>
    <row r="24" spans="1:3" x14ac:dyDescent="0.3">
      <c r="A24" s="11" t="s">
        <v>44</v>
      </c>
      <c r="B24" s="12">
        <v>8.1999999999999993</v>
      </c>
      <c r="C24" s="12">
        <v>0</v>
      </c>
    </row>
    <row r="25" spans="1:3" x14ac:dyDescent="0.3">
      <c r="A25" s="9" t="s">
        <v>54</v>
      </c>
      <c r="B25" s="12">
        <v>6.5</v>
      </c>
      <c r="C25" s="12">
        <v>0</v>
      </c>
    </row>
    <row r="26" spans="1:3" x14ac:dyDescent="0.3">
      <c r="A26" s="11" t="s">
        <v>44</v>
      </c>
      <c r="B26" s="12">
        <v>6.5</v>
      </c>
      <c r="C26" s="12">
        <v>0</v>
      </c>
    </row>
    <row r="27" spans="1:3" x14ac:dyDescent="0.3">
      <c r="A27" s="9" t="s">
        <v>55</v>
      </c>
      <c r="B27" s="12">
        <v>7.8999999999999986</v>
      </c>
      <c r="C27" s="12">
        <v>0</v>
      </c>
    </row>
    <row r="28" spans="1:3" x14ac:dyDescent="0.3">
      <c r="A28" s="11" t="s">
        <v>44</v>
      </c>
      <c r="B28" s="12">
        <v>7.8999999999999986</v>
      </c>
      <c r="C28" s="12">
        <v>0</v>
      </c>
    </row>
    <row r="29" spans="1:3" x14ac:dyDescent="0.3">
      <c r="A29" s="9" t="s">
        <v>56</v>
      </c>
      <c r="B29" s="12">
        <v>8.5999999999999979</v>
      </c>
      <c r="C29" s="12">
        <v>0</v>
      </c>
    </row>
    <row r="30" spans="1:3" x14ac:dyDescent="0.3">
      <c r="A30" s="11" t="s">
        <v>44</v>
      </c>
      <c r="B30" s="12">
        <v>8.5999999999999979</v>
      </c>
      <c r="C30" s="12">
        <v>0</v>
      </c>
    </row>
    <row r="31" spans="1:3" x14ac:dyDescent="0.3">
      <c r="A31" s="9" t="s">
        <v>57</v>
      </c>
      <c r="B31" s="12">
        <v>4</v>
      </c>
      <c r="C31" s="12">
        <v>0</v>
      </c>
    </row>
    <row r="32" spans="1:3" x14ac:dyDescent="0.3">
      <c r="A32" s="11" t="s">
        <v>44</v>
      </c>
      <c r="B32" s="12">
        <v>4</v>
      </c>
      <c r="C32" s="12">
        <v>0</v>
      </c>
    </row>
    <row r="33" spans="1:3" x14ac:dyDescent="0.3">
      <c r="A33" s="9" t="s">
        <v>58</v>
      </c>
      <c r="B33" s="12">
        <v>6.5</v>
      </c>
      <c r="C33" s="12">
        <v>0</v>
      </c>
    </row>
    <row r="34" spans="1:3" x14ac:dyDescent="0.3">
      <c r="A34" s="11" t="s">
        <v>44</v>
      </c>
      <c r="B34" s="12">
        <v>6.5</v>
      </c>
      <c r="C34" s="12">
        <v>0</v>
      </c>
    </row>
    <row r="35" spans="1:3" x14ac:dyDescent="0.3">
      <c r="A35" s="9" t="s">
        <v>59</v>
      </c>
      <c r="B35" s="12">
        <v>10.9</v>
      </c>
      <c r="C35" s="12">
        <v>0</v>
      </c>
    </row>
    <row r="36" spans="1:3" x14ac:dyDescent="0.3">
      <c r="A36" s="11" t="s">
        <v>44</v>
      </c>
      <c r="B36" s="12">
        <v>10.9</v>
      </c>
      <c r="C36" s="12">
        <v>0</v>
      </c>
    </row>
    <row r="37" spans="1:3" x14ac:dyDescent="0.3">
      <c r="A37" s="9" t="s">
        <v>60</v>
      </c>
      <c r="B37" s="12">
        <v>12.500000000000002</v>
      </c>
      <c r="C37" s="12">
        <v>0</v>
      </c>
    </row>
    <row r="38" spans="1:3" x14ac:dyDescent="0.3">
      <c r="A38" s="11" t="s">
        <v>44</v>
      </c>
      <c r="B38" s="12">
        <v>12.500000000000002</v>
      </c>
      <c r="C38" s="12">
        <v>0</v>
      </c>
    </row>
    <row r="39" spans="1:3" x14ac:dyDescent="0.3">
      <c r="A39" s="9" t="s">
        <v>61</v>
      </c>
      <c r="B39" s="12">
        <v>4.6999999999999993</v>
      </c>
      <c r="C39" s="12">
        <v>0</v>
      </c>
    </row>
    <row r="40" spans="1:3" x14ac:dyDescent="0.3">
      <c r="A40" s="11" t="s">
        <v>44</v>
      </c>
      <c r="B40" s="12">
        <v>4.6999999999999993</v>
      </c>
      <c r="C40" s="12">
        <v>0</v>
      </c>
    </row>
    <row r="41" spans="1:3" x14ac:dyDescent="0.3">
      <c r="A41" s="9" t="s">
        <v>62</v>
      </c>
      <c r="B41" s="12">
        <v>6.9000000000000021</v>
      </c>
      <c r="C41" s="12">
        <v>0.6</v>
      </c>
    </row>
    <row r="42" spans="1:3" x14ac:dyDescent="0.3">
      <c r="A42" s="11" t="s">
        <v>44</v>
      </c>
      <c r="B42" s="12">
        <v>6.9000000000000021</v>
      </c>
      <c r="C42" s="12">
        <v>0.6</v>
      </c>
    </row>
    <row r="43" spans="1:3" x14ac:dyDescent="0.3">
      <c r="A43" s="9" t="s">
        <v>63</v>
      </c>
      <c r="B43" s="12">
        <v>10.8</v>
      </c>
      <c r="C43" s="12">
        <v>0</v>
      </c>
    </row>
    <row r="44" spans="1:3" x14ac:dyDescent="0.3">
      <c r="A44" s="11" t="s">
        <v>44</v>
      </c>
      <c r="B44" s="12">
        <v>10.8</v>
      </c>
      <c r="C44" s="12">
        <v>0</v>
      </c>
    </row>
    <row r="45" spans="1:3" x14ac:dyDescent="0.3">
      <c r="A45" s="9" t="s">
        <v>64</v>
      </c>
      <c r="B45" s="12">
        <v>11.500000000000002</v>
      </c>
      <c r="C45" s="12">
        <v>0</v>
      </c>
    </row>
    <row r="46" spans="1:3" x14ac:dyDescent="0.3">
      <c r="A46" s="11" t="s">
        <v>44</v>
      </c>
      <c r="B46" s="12">
        <v>11.500000000000002</v>
      </c>
      <c r="C46" s="12">
        <v>0</v>
      </c>
    </row>
    <row r="47" spans="1:3" x14ac:dyDescent="0.3">
      <c r="A47" s="9" t="s">
        <v>65</v>
      </c>
      <c r="B47" s="12">
        <v>13.899999999999999</v>
      </c>
      <c r="C47" s="12">
        <v>0</v>
      </c>
    </row>
    <row r="48" spans="1:3" x14ac:dyDescent="0.3">
      <c r="A48" s="11" t="s">
        <v>44</v>
      </c>
      <c r="B48" s="12">
        <v>13.899999999999999</v>
      </c>
      <c r="C48" s="12">
        <v>0</v>
      </c>
    </row>
    <row r="49" spans="1:3" x14ac:dyDescent="0.3">
      <c r="A49" s="9" t="s">
        <v>66</v>
      </c>
      <c r="B49" s="12">
        <v>18</v>
      </c>
      <c r="C49" s="12">
        <v>0</v>
      </c>
    </row>
    <row r="50" spans="1:3" x14ac:dyDescent="0.3">
      <c r="A50" s="11" t="s">
        <v>44</v>
      </c>
      <c r="B50" s="12">
        <v>18</v>
      </c>
      <c r="C50" s="12">
        <v>0</v>
      </c>
    </row>
    <row r="51" spans="1:3" x14ac:dyDescent="0.3">
      <c r="A51" s="9" t="s">
        <v>67</v>
      </c>
      <c r="B51" s="12">
        <v>9.1999999999999993</v>
      </c>
      <c r="C51" s="12">
        <v>0</v>
      </c>
    </row>
    <row r="52" spans="1:3" x14ac:dyDescent="0.3">
      <c r="A52" s="11" t="s">
        <v>44</v>
      </c>
      <c r="B52" s="12">
        <v>9.1999999999999993</v>
      </c>
      <c r="C52" s="12">
        <v>0</v>
      </c>
    </row>
    <row r="53" spans="1:3" x14ac:dyDescent="0.3">
      <c r="A53" s="9" t="s">
        <v>68</v>
      </c>
      <c r="B53" s="12">
        <v>7.1000000000000014</v>
      </c>
      <c r="C53" s="12">
        <v>0</v>
      </c>
    </row>
    <row r="54" spans="1:3" x14ac:dyDescent="0.3">
      <c r="A54" s="11" t="s">
        <v>44</v>
      </c>
      <c r="B54" s="12">
        <v>7.1000000000000014</v>
      </c>
      <c r="C54" s="12">
        <v>0</v>
      </c>
    </row>
    <row r="55" spans="1:3" x14ac:dyDescent="0.3">
      <c r="A55" s="9" t="s">
        <v>69</v>
      </c>
      <c r="B55" s="12">
        <v>6.4000000000000021</v>
      </c>
      <c r="C55" s="12">
        <v>0</v>
      </c>
    </row>
    <row r="56" spans="1:3" x14ac:dyDescent="0.3">
      <c r="A56" s="11" t="s">
        <v>44</v>
      </c>
      <c r="B56" s="12">
        <v>6.4000000000000021</v>
      </c>
      <c r="C56" s="12">
        <v>0</v>
      </c>
    </row>
    <row r="57" spans="1:3" x14ac:dyDescent="0.3">
      <c r="A57" s="9" t="s">
        <v>70</v>
      </c>
      <c r="B57" s="12">
        <v>8.6999999999999993</v>
      </c>
      <c r="C57" s="12">
        <v>0.4</v>
      </c>
    </row>
    <row r="58" spans="1:3" x14ac:dyDescent="0.3">
      <c r="A58" s="11" t="s">
        <v>44</v>
      </c>
      <c r="B58" s="12">
        <v>8.6999999999999993</v>
      </c>
      <c r="C58" s="12">
        <v>0.4</v>
      </c>
    </row>
    <row r="59" spans="1:3" x14ac:dyDescent="0.3">
      <c r="A59" s="9" t="s">
        <v>71</v>
      </c>
      <c r="B59" s="12">
        <v>6.7000000000000011</v>
      </c>
      <c r="C59" s="12">
        <v>0.4</v>
      </c>
    </row>
    <row r="60" spans="1:3" x14ac:dyDescent="0.3">
      <c r="A60" s="11" t="s">
        <v>44</v>
      </c>
      <c r="B60" s="12">
        <v>6.7000000000000011</v>
      </c>
      <c r="C60" s="12">
        <v>0.4</v>
      </c>
    </row>
    <row r="61" spans="1:3" x14ac:dyDescent="0.3">
      <c r="A61" s="9" t="s">
        <v>72</v>
      </c>
      <c r="B61" s="12">
        <v>10.600000000000001</v>
      </c>
      <c r="C61" s="12">
        <v>0</v>
      </c>
    </row>
    <row r="62" spans="1:3" x14ac:dyDescent="0.3">
      <c r="A62" s="11" t="s">
        <v>44</v>
      </c>
      <c r="B62" s="12">
        <v>10.600000000000001</v>
      </c>
      <c r="C62" s="12">
        <v>0</v>
      </c>
    </row>
    <row r="63" spans="1:3" x14ac:dyDescent="0.3">
      <c r="A63" s="9" t="s">
        <v>11</v>
      </c>
      <c r="B63" s="12">
        <v>9.2379310344827577</v>
      </c>
      <c r="C63" s="12">
        <v>32.799999999999997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WeatherData</vt:lpstr>
      <vt:lpstr>Station Numbers</vt:lpstr>
      <vt:lpstr>HelperPivot</vt:lpstr>
      <vt:lpstr>PivotStation</vt:lpstr>
      <vt:lpstr>MonthDetails</vt:lpstr>
      <vt:lpstr>Daily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Gun</dc:creator>
  <cp:lastModifiedBy>joon choi</cp:lastModifiedBy>
  <dcterms:created xsi:type="dcterms:W3CDTF">2025-02-03T07:55:32Z</dcterms:created>
  <dcterms:modified xsi:type="dcterms:W3CDTF">2026-02-11T12:27:34Z</dcterms:modified>
</cp:coreProperties>
</file>